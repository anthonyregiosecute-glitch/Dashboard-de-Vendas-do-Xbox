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" sheetId="2" state="visible" r:id="rId4"/>
    <sheet name="Apoio" sheetId="3" state="visible" r:id="rId5"/>
  </sheets>
  <definedNames>
    <definedName function="false" hidden="true" localSheetId="1" name="_xlnm._FilterDatabase" vbProcedure="false">Base!$A$1:$K$901</definedName>
    <definedName function="false" hidden="false" name="b_canal" vbProcedure="false">Base!$F$2:$F$3001</definedName>
    <definedName function="false" hidden="false" name="b_categoria" vbProcedure="false">Base!$D$2:$D$3001</definedName>
    <definedName function="false" hidden="false" name="b_data" vbProcedure="false">Base!$B$2:$B$3001</definedName>
    <definedName function="false" hidden="false" name="b_lucro" vbProcedure="false">Base!$K$2:$K$3001</definedName>
    <definedName function="false" hidden="false" name="b_pedido" vbProcedure="false">Base!$A$2:$A$3001</definedName>
    <definedName function="false" hidden="false" name="b_produto" vbProcedure="false">Base!$C$2:$C$3001</definedName>
    <definedName function="false" hidden="false" name="b_qtd" vbProcedure="false">Base!$G$2:$G$3001</definedName>
    <definedName function="false" hidden="false" name="b_receita" vbProcedure="false">Base!$J$2:$J$3001</definedName>
    <definedName function="false" hidden="false" name="b_regiao" vbProcedure="false">Base!$E$2:$E$3001</definedName>
    <definedName function="false" hidden="false" name="c_canal" vbProcedure="false">Apoio!$I$7</definedName>
    <definedName function="false" hidden="false" name="c_cat" vbProcedure="false">Apoio!$I$6</definedName>
    <definedName function="false" hidden="false" name="c_fim" vbProcedure="false">Apoio!$I$4</definedName>
    <definedName function="false" hidden="false" name="c_ini" vbProcedure="false">Apoio!$I$3</definedName>
    <definedName function="false" hidden="false" name="c_regiao" vbProcedure="false">Apoio!$I$5</definedName>
    <definedName function="false" hidden="false" name="f_ano" vbProcedure="false">Dashboard!$B$6</definedName>
    <definedName function="false" hidden="false" name="f_canal" vbProcedure="false">Dashboard!$K$6</definedName>
    <definedName function="false" hidden="false" name="f_categoria" vbProcedure="false">Dashboard!$H$6</definedName>
    <definedName function="false" hidden="false" name="f_regiao" vbProcedure="false">Dashboard!$E$6</definedName>
    <definedName function="false" hidden="false" name="k_lucro" vbProcedure="false">Dashboard!$D$9</definedName>
    <definedName function="false" hidden="false" name="k_margem" vbProcedure="false">Dashboard!$F$9</definedName>
    <definedName function="false" hidden="false" name="k_pedidos" vbProcedure="false">Dashboard!$J$9</definedName>
    <definedName function="false" hidden="false" name="k_receita" vbProcedure="false">Dashboard!$B$9</definedName>
    <definedName function="false" hidden="false" name="k_ticket" vbProcedure="false">Dashboard!$L$9</definedName>
    <definedName function="false" hidden="false" name="k_unid" vbProcedure="false">Dashboard!$H$9</definedName>
    <definedName function="false" hidden="false" name="l_anos" vbProcedure="false">Apoio!$A$3:$A$6</definedName>
    <definedName function="false" hidden="false" name="l_canais" vbProcedure="false">Apoio!$D$3:$D$5</definedName>
    <definedName function="false" hidden="false" name="l_categorias" vbProcedure="false">Apoio!$C$3:$C$7</definedName>
    <definedName function="false" hidden="false" name="l_regioes" vbProcedure="false">Apoio!$B$3:$B$8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<sst xmlns="http://schemas.openxmlformats.org/spreadsheetml/2006/main" count="4595" uniqueCount="960">
  <si>
    <t xml:space="preserve">DASHBOARD DE VENDAS</t>
  </si>
  <si>
    <t xml:space="preserve">Escolha os filtros nas células amarelas: tudo se atualiza. Dados fictícios de exemplo.</t>
  </si>
  <si>
    <t xml:space="preserve">Ano</t>
  </si>
  <si>
    <t xml:space="preserve">Região</t>
  </si>
  <si>
    <t xml:space="preserve">Categoria</t>
  </si>
  <si>
    <t xml:space="preserve">Canal</t>
  </si>
  <si>
    <t xml:space="preserve">Todos</t>
  </si>
  <si>
    <t xml:space="preserve">Todas</t>
  </si>
  <si>
    <t xml:space="preserve">Receita total</t>
  </si>
  <si>
    <t xml:space="preserve">Lucro total</t>
  </si>
  <si>
    <t xml:space="preserve">Margem de lucro</t>
  </si>
  <si>
    <t xml:space="preserve">Unidades vendidas</t>
  </si>
  <si>
    <t xml:space="preserve">Pedidos</t>
  </si>
  <si>
    <t xml:space="preserve">Ticket médio</t>
  </si>
  <si>
    <t xml:space="preserve">ID do pedido</t>
  </si>
  <si>
    <t xml:space="preserve">Data</t>
  </si>
  <si>
    <t xml:space="preserve">Produto</t>
  </si>
  <si>
    <t xml:space="preserve">Quantidade</t>
  </si>
  <si>
    <t xml:space="preserve">Preço unitário (R$)</t>
  </si>
  <si>
    <t xml:space="preserve">Custo unitário (R$)</t>
  </si>
  <si>
    <t xml:space="preserve">Receita (R$)</t>
  </si>
  <si>
    <t xml:space="preserve">Lucro (R$)</t>
  </si>
  <si>
    <t xml:space="preserve">PED-0001</t>
  </si>
  <si>
    <t xml:space="preserve">Jogo de Esporte</t>
  </si>
  <si>
    <t xml:space="preserve">Jogo</t>
  </si>
  <si>
    <t xml:space="preserve">Centro-Oeste</t>
  </si>
  <si>
    <t xml:space="preserve">Online</t>
  </si>
  <si>
    <t xml:space="preserve">PED-0002</t>
  </si>
  <si>
    <t xml:space="preserve">Controle sem fio</t>
  </si>
  <si>
    <t xml:space="preserve">Acessório</t>
  </si>
  <si>
    <t xml:space="preserve">Nordeste</t>
  </si>
  <si>
    <t xml:space="preserve">PED-0003</t>
  </si>
  <si>
    <t xml:space="preserve">Headset Gamer</t>
  </si>
  <si>
    <t xml:space="preserve">Sul</t>
  </si>
  <si>
    <t xml:space="preserve">Loja física</t>
  </si>
  <si>
    <t xml:space="preserve">PED-0004</t>
  </si>
  <si>
    <t xml:space="preserve">Cartão de memória</t>
  </si>
  <si>
    <t xml:space="preserve">PED-0005</t>
  </si>
  <si>
    <t xml:space="preserve">Sudeste</t>
  </si>
  <si>
    <t xml:space="preserve">PED-0006</t>
  </si>
  <si>
    <t xml:space="preserve">PED-0007</t>
  </si>
  <si>
    <t xml:space="preserve">Assinatura mensal</t>
  </si>
  <si>
    <t xml:space="preserve">Assinatura</t>
  </si>
  <si>
    <t xml:space="preserve">PED-0008</t>
  </si>
  <si>
    <t xml:space="preserve">PED-0009</t>
  </si>
  <si>
    <t xml:space="preserve">PED-0010</t>
  </si>
  <si>
    <t xml:space="preserve">PED-0011</t>
  </si>
  <si>
    <t xml:space="preserve">PED-0012</t>
  </si>
  <si>
    <t xml:space="preserve">PED-0013</t>
  </si>
  <si>
    <t xml:space="preserve">Jogo de Corrida</t>
  </si>
  <si>
    <t xml:space="preserve">PED-0014</t>
  </si>
  <si>
    <t xml:space="preserve">Assinatura trimestral</t>
  </si>
  <si>
    <t xml:space="preserve">PED-0015</t>
  </si>
  <si>
    <t xml:space="preserve">Jogo de Aventura</t>
  </si>
  <si>
    <t xml:space="preserve">PED-0016</t>
  </si>
  <si>
    <t xml:space="preserve">Jogo de Ação</t>
  </si>
  <si>
    <t xml:space="preserve">PED-0017</t>
  </si>
  <si>
    <t xml:space="preserve">Norte</t>
  </si>
  <si>
    <t xml:space="preserve">PED-0018</t>
  </si>
  <si>
    <t xml:space="preserve">PED-0019</t>
  </si>
  <si>
    <t xml:space="preserve">PED-0020</t>
  </si>
  <si>
    <t xml:space="preserve">PED-0021</t>
  </si>
  <si>
    <t xml:space="preserve">PED-0022</t>
  </si>
  <si>
    <t xml:space="preserve">PED-0023</t>
  </si>
  <si>
    <t xml:space="preserve">PED-0024</t>
  </si>
  <si>
    <t xml:space="preserve">PED-0025</t>
  </si>
  <si>
    <t xml:space="preserve">PED-0026</t>
  </si>
  <si>
    <t xml:space="preserve">Console Lite</t>
  </si>
  <si>
    <t xml:space="preserve">Console</t>
  </si>
  <si>
    <t xml:space="preserve">PED-0027</t>
  </si>
  <si>
    <t xml:space="preserve">PED-0028</t>
  </si>
  <si>
    <t xml:space="preserve">PED-0029</t>
  </si>
  <si>
    <t xml:space="preserve">PED-0030</t>
  </si>
  <si>
    <t xml:space="preserve">PED-0031</t>
  </si>
  <si>
    <t xml:space="preserve">PED-0032</t>
  </si>
  <si>
    <t xml:space="preserve">PED-0033</t>
  </si>
  <si>
    <t xml:space="preserve">PED-0034</t>
  </si>
  <si>
    <t xml:space="preserve">PED-0035</t>
  </si>
  <si>
    <t xml:space="preserve">PED-0036</t>
  </si>
  <si>
    <t xml:space="preserve">PED-0037</t>
  </si>
  <si>
    <t xml:space="preserve">PED-0038</t>
  </si>
  <si>
    <t xml:space="preserve">PED-0039</t>
  </si>
  <si>
    <t xml:space="preserve">PED-0040</t>
  </si>
  <si>
    <t xml:space="preserve">PED-0041</t>
  </si>
  <si>
    <t xml:space="preserve">Assinatura anual</t>
  </si>
  <si>
    <t xml:space="preserve">PED-0042</t>
  </si>
  <si>
    <t xml:space="preserve">PED-0043</t>
  </si>
  <si>
    <t xml:space="preserve">PED-0044</t>
  </si>
  <si>
    <t xml:space="preserve">PED-0045</t>
  </si>
  <si>
    <t xml:space="preserve">PED-0046</t>
  </si>
  <si>
    <t xml:space="preserve">PED-0047</t>
  </si>
  <si>
    <t xml:space="preserve">PED-0048</t>
  </si>
  <si>
    <t xml:space="preserve">PED-0049</t>
  </si>
  <si>
    <t xml:space="preserve">PED-0050</t>
  </si>
  <si>
    <t xml:space="preserve">PED-0051</t>
  </si>
  <si>
    <t xml:space="preserve">PED-0052</t>
  </si>
  <si>
    <t xml:space="preserve">PED-0053</t>
  </si>
  <si>
    <t xml:space="preserve">PED-0054</t>
  </si>
  <si>
    <t xml:space="preserve">PED-0055</t>
  </si>
  <si>
    <t xml:space="preserve">PED-0056</t>
  </si>
  <si>
    <t xml:space="preserve">PED-0057</t>
  </si>
  <si>
    <t xml:space="preserve">Console Pro</t>
  </si>
  <si>
    <t xml:space="preserve">PED-0058</t>
  </si>
  <si>
    <t xml:space="preserve">PED-0059</t>
  </si>
  <si>
    <t xml:space="preserve">PED-0060</t>
  </si>
  <si>
    <t xml:space="preserve">PED-0061</t>
  </si>
  <si>
    <t xml:space="preserve">PED-0062</t>
  </si>
  <si>
    <t xml:space="preserve">PED-0063</t>
  </si>
  <si>
    <t xml:space="preserve">PED-0064</t>
  </si>
  <si>
    <t xml:space="preserve">PED-0065</t>
  </si>
  <si>
    <t xml:space="preserve">PED-0066</t>
  </si>
  <si>
    <t xml:space="preserve">PED-0067</t>
  </si>
  <si>
    <t xml:space="preserve">PED-0068</t>
  </si>
  <si>
    <t xml:space="preserve">PED-0069</t>
  </si>
  <si>
    <t xml:space="preserve">PED-0070</t>
  </si>
  <si>
    <t xml:space="preserve">PED-0071</t>
  </si>
  <si>
    <t xml:space="preserve">PED-0072</t>
  </si>
  <si>
    <t xml:space="preserve">PED-0073</t>
  </si>
  <si>
    <t xml:space="preserve">PED-0074</t>
  </si>
  <si>
    <t xml:space="preserve">PED-0075</t>
  </si>
  <si>
    <t xml:space="preserve">PED-0076</t>
  </si>
  <si>
    <t xml:space="preserve">PED-0077</t>
  </si>
  <si>
    <t xml:space="preserve">PED-0078</t>
  </si>
  <si>
    <t xml:space="preserve">PED-0079</t>
  </si>
  <si>
    <t xml:space="preserve">PED-0080</t>
  </si>
  <si>
    <t xml:space="preserve">PED-0081</t>
  </si>
  <si>
    <t xml:space="preserve">PED-0082</t>
  </si>
  <si>
    <t xml:space="preserve">PED-0083</t>
  </si>
  <si>
    <t xml:space="preserve">PED-0084</t>
  </si>
  <si>
    <t xml:space="preserve">PED-0085</t>
  </si>
  <si>
    <t xml:space="preserve">PED-0086</t>
  </si>
  <si>
    <t xml:space="preserve">PED-0087</t>
  </si>
  <si>
    <t xml:space="preserve">PED-0088</t>
  </si>
  <si>
    <t xml:space="preserve">PED-0089</t>
  </si>
  <si>
    <t xml:space="preserve">PED-0090</t>
  </si>
  <si>
    <t xml:space="preserve">PED-0091</t>
  </si>
  <si>
    <t xml:space="preserve">PED-0092</t>
  </si>
  <si>
    <t xml:space="preserve">PED-0093</t>
  </si>
  <si>
    <t xml:space="preserve">PED-0094</t>
  </si>
  <si>
    <t xml:space="preserve">PED-0095</t>
  </si>
  <si>
    <t xml:space="preserve">PED-0096</t>
  </si>
  <si>
    <t xml:space="preserve">PED-0097</t>
  </si>
  <si>
    <t xml:space="preserve">PED-0098</t>
  </si>
  <si>
    <t xml:space="preserve">PED-0099</t>
  </si>
  <si>
    <t xml:space="preserve">PED-0100</t>
  </si>
  <si>
    <t xml:space="preserve">PED-0101</t>
  </si>
  <si>
    <t xml:space="preserve">PED-0102</t>
  </si>
  <si>
    <t xml:space="preserve">PED-0103</t>
  </si>
  <si>
    <t xml:space="preserve">PED-0104</t>
  </si>
  <si>
    <t xml:space="preserve">PED-0105</t>
  </si>
  <si>
    <t xml:space="preserve">PED-0106</t>
  </si>
  <si>
    <t xml:space="preserve">PED-0107</t>
  </si>
  <si>
    <t xml:space="preserve">PED-0108</t>
  </si>
  <si>
    <t xml:space="preserve">PED-0109</t>
  </si>
  <si>
    <t xml:space="preserve">PED-0110</t>
  </si>
  <si>
    <t xml:space="preserve">PED-0111</t>
  </si>
  <si>
    <t xml:space="preserve">PED-0112</t>
  </si>
  <si>
    <t xml:space="preserve">PED-0113</t>
  </si>
  <si>
    <t xml:space="preserve">PED-0114</t>
  </si>
  <si>
    <t xml:space="preserve">PED-0115</t>
  </si>
  <si>
    <t xml:space="preserve">PED-0116</t>
  </si>
  <si>
    <t xml:space="preserve">PED-0117</t>
  </si>
  <si>
    <t xml:space="preserve">PED-0118</t>
  </si>
  <si>
    <t xml:space="preserve">PED-0119</t>
  </si>
  <si>
    <t xml:space="preserve">PED-0120</t>
  </si>
  <si>
    <t xml:space="preserve">PED-0121</t>
  </si>
  <si>
    <t xml:space="preserve">PED-0122</t>
  </si>
  <si>
    <t xml:space="preserve">PED-0123</t>
  </si>
  <si>
    <t xml:space="preserve">PED-0124</t>
  </si>
  <si>
    <t xml:space="preserve">PED-0125</t>
  </si>
  <si>
    <t xml:space="preserve">PED-0126</t>
  </si>
  <si>
    <t xml:space="preserve">PED-0127</t>
  </si>
  <si>
    <t xml:space="preserve">PED-0128</t>
  </si>
  <si>
    <t xml:space="preserve">PED-0129</t>
  </si>
  <si>
    <t xml:space="preserve">PED-0130</t>
  </si>
  <si>
    <t xml:space="preserve">PED-0131</t>
  </si>
  <si>
    <t xml:space="preserve">PED-0132</t>
  </si>
  <si>
    <t xml:space="preserve">PED-0133</t>
  </si>
  <si>
    <t xml:space="preserve">PED-0134</t>
  </si>
  <si>
    <t xml:space="preserve">PED-0135</t>
  </si>
  <si>
    <t xml:space="preserve">PED-0136</t>
  </si>
  <si>
    <t xml:space="preserve">PED-0137</t>
  </si>
  <si>
    <t xml:space="preserve">PED-0138</t>
  </si>
  <si>
    <t xml:space="preserve">PED-0139</t>
  </si>
  <si>
    <t xml:space="preserve">PED-0140</t>
  </si>
  <si>
    <t xml:space="preserve">PED-0141</t>
  </si>
  <si>
    <t xml:space="preserve">PED-0142</t>
  </si>
  <si>
    <t xml:space="preserve">PED-0143</t>
  </si>
  <si>
    <t xml:space="preserve">PED-0144</t>
  </si>
  <si>
    <t xml:space="preserve">PED-0145</t>
  </si>
  <si>
    <t xml:space="preserve">PED-0146</t>
  </si>
  <si>
    <t xml:space="preserve">PED-0147</t>
  </si>
  <si>
    <t xml:space="preserve">PED-0148</t>
  </si>
  <si>
    <t xml:space="preserve">PED-0149</t>
  </si>
  <si>
    <t xml:space="preserve">PED-0150</t>
  </si>
  <si>
    <t xml:space="preserve">PED-0151</t>
  </si>
  <si>
    <t xml:space="preserve">PED-0152</t>
  </si>
  <si>
    <t xml:space="preserve">PED-0153</t>
  </si>
  <si>
    <t xml:space="preserve">PED-0154</t>
  </si>
  <si>
    <t xml:space="preserve">PED-0155</t>
  </si>
  <si>
    <t xml:space="preserve">PED-0156</t>
  </si>
  <si>
    <t xml:space="preserve">PED-0157</t>
  </si>
  <si>
    <t xml:space="preserve">PED-0158</t>
  </si>
  <si>
    <t xml:space="preserve">PED-0159</t>
  </si>
  <si>
    <t xml:space="preserve">PED-0160</t>
  </si>
  <si>
    <t xml:space="preserve">PED-0161</t>
  </si>
  <si>
    <t xml:space="preserve">PED-0162</t>
  </si>
  <si>
    <t xml:space="preserve">PED-0163</t>
  </si>
  <si>
    <t xml:space="preserve">PED-0164</t>
  </si>
  <si>
    <t xml:space="preserve">PED-0165</t>
  </si>
  <si>
    <t xml:space="preserve">PED-0166</t>
  </si>
  <si>
    <t xml:space="preserve">PED-0167</t>
  </si>
  <si>
    <t xml:space="preserve">PED-0168</t>
  </si>
  <si>
    <t xml:space="preserve">PED-0169</t>
  </si>
  <si>
    <t xml:space="preserve">PED-0170</t>
  </si>
  <si>
    <t xml:space="preserve">PED-0171</t>
  </si>
  <si>
    <t xml:space="preserve">PED-0172</t>
  </si>
  <si>
    <t xml:space="preserve">PED-0173</t>
  </si>
  <si>
    <t xml:space="preserve">PED-0174</t>
  </si>
  <si>
    <t xml:space="preserve">PED-0175</t>
  </si>
  <si>
    <t xml:space="preserve">PED-0176</t>
  </si>
  <si>
    <t xml:space="preserve">PED-0177</t>
  </si>
  <si>
    <t xml:space="preserve">PED-0178</t>
  </si>
  <si>
    <t xml:space="preserve">PED-0179</t>
  </si>
  <si>
    <t xml:space="preserve">PED-0180</t>
  </si>
  <si>
    <t xml:space="preserve">PED-0181</t>
  </si>
  <si>
    <t xml:space="preserve">PED-0182</t>
  </si>
  <si>
    <t xml:space="preserve">PED-0183</t>
  </si>
  <si>
    <t xml:space="preserve">PED-0184</t>
  </si>
  <si>
    <t xml:space="preserve">PED-0185</t>
  </si>
  <si>
    <t xml:space="preserve">PED-0186</t>
  </si>
  <si>
    <t xml:space="preserve">PED-0187</t>
  </si>
  <si>
    <t xml:space="preserve">PED-0188</t>
  </si>
  <si>
    <t xml:space="preserve">PED-0189</t>
  </si>
  <si>
    <t xml:space="preserve">PED-0190</t>
  </si>
  <si>
    <t xml:space="preserve">PED-0191</t>
  </si>
  <si>
    <t xml:space="preserve">PED-0192</t>
  </si>
  <si>
    <t xml:space="preserve">PED-0193</t>
  </si>
  <si>
    <t xml:space="preserve">PED-0194</t>
  </si>
  <si>
    <t xml:space="preserve">PED-0195</t>
  </si>
  <si>
    <t xml:space="preserve">PED-0196</t>
  </si>
  <si>
    <t xml:space="preserve">PED-0197</t>
  </si>
  <si>
    <t xml:space="preserve">PED-0198</t>
  </si>
  <si>
    <t xml:space="preserve">PED-0199</t>
  </si>
  <si>
    <t xml:space="preserve">PED-0200</t>
  </si>
  <si>
    <t xml:space="preserve">PED-0201</t>
  </si>
  <si>
    <t xml:space="preserve">PED-0202</t>
  </si>
  <si>
    <t xml:space="preserve">PED-0203</t>
  </si>
  <si>
    <t xml:space="preserve">PED-0204</t>
  </si>
  <si>
    <t xml:space="preserve">PED-0205</t>
  </si>
  <si>
    <t xml:space="preserve">PED-0206</t>
  </si>
  <si>
    <t xml:space="preserve">PED-0207</t>
  </si>
  <si>
    <t xml:space="preserve">PED-0208</t>
  </si>
  <si>
    <t xml:space="preserve">PED-0209</t>
  </si>
  <si>
    <t xml:space="preserve">PED-0210</t>
  </si>
  <si>
    <t xml:space="preserve">PED-0211</t>
  </si>
  <si>
    <t xml:space="preserve">PED-0212</t>
  </si>
  <si>
    <t xml:space="preserve">PED-0213</t>
  </si>
  <si>
    <t xml:space="preserve">PED-0214</t>
  </si>
  <si>
    <t xml:space="preserve">PED-0215</t>
  </si>
  <si>
    <t xml:space="preserve">PED-0216</t>
  </si>
  <si>
    <t xml:space="preserve">PED-0217</t>
  </si>
  <si>
    <t xml:space="preserve">PED-0218</t>
  </si>
  <si>
    <t xml:space="preserve">PED-0219</t>
  </si>
  <si>
    <t xml:space="preserve">PED-0220</t>
  </si>
  <si>
    <t xml:space="preserve">PED-0221</t>
  </si>
  <si>
    <t xml:space="preserve">PED-0222</t>
  </si>
  <si>
    <t xml:space="preserve">PED-0223</t>
  </si>
  <si>
    <t xml:space="preserve">PED-0224</t>
  </si>
  <si>
    <t xml:space="preserve">PED-0225</t>
  </si>
  <si>
    <t xml:space="preserve">PED-0226</t>
  </si>
  <si>
    <t xml:space="preserve">PED-0227</t>
  </si>
  <si>
    <t xml:space="preserve">PED-0228</t>
  </si>
  <si>
    <t xml:space="preserve">PED-0229</t>
  </si>
  <si>
    <t xml:space="preserve">PED-0230</t>
  </si>
  <si>
    <t xml:space="preserve">PED-0231</t>
  </si>
  <si>
    <t xml:space="preserve">PED-0232</t>
  </si>
  <si>
    <t xml:space="preserve">PED-0233</t>
  </si>
  <si>
    <t xml:space="preserve">PED-0234</t>
  </si>
  <si>
    <t xml:space="preserve">PED-0235</t>
  </si>
  <si>
    <t xml:space="preserve">PED-0236</t>
  </si>
  <si>
    <t xml:space="preserve">PED-0237</t>
  </si>
  <si>
    <t xml:space="preserve">PED-0238</t>
  </si>
  <si>
    <t xml:space="preserve">PED-0239</t>
  </si>
  <si>
    <t xml:space="preserve">PED-0240</t>
  </si>
  <si>
    <t xml:space="preserve">PED-0241</t>
  </si>
  <si>
    <t xml:space="preserve">PED-0242</t>
  </si>
  <si>
    <t xml:space="preserve">PED-0243</t>
  </si>
  <si>
    <t xml:space="preserve">PED-0244</t>
  </si>
  <si>
    <t xml:space="preserve">PED-0245</t>
  </si>
  <si>
    <t xml:space="preserve">PED-0246</t>
  </si>
  <si>
    <t xml:space="preserve">PED-0247</t>
  </si>
  <si>
    <t xml:space="preserve">PED-0248</t>
  </si>
  <si>
    <t xml:space="preserve">PED-0249</t>
  </si>
  <si>
    <t xml:space="preserve">PED-0250</t>
  </si>
  <si>
    <t xml:space="preserve">PED-0251</t>
  </si>
  <si>
    <t xml:space="preserve">PED-0252</t>
  </si>
  <si>
    <t xml:space="preserve">PED-0253</t>
  </si>
  <si>
    <t xml:space="preserve">PED-0254</t>
  </si>
  <si>
    <t xml:space="preserve">PED-0255</t>
  </si>
  <si>
    <t xml:space="preserve">PED-0256</t>
  </si>
  <si>
    <t xml:space="preserve">PED-0257</t>
  </si>
  <si>
    <t xml:space="preserve">PED-0258</t>
  </si>
  <si>
    <t xml:space="preserve">PED-0259</t>
  </si>
  <si>
    <t xml:space="preserve">PED-0260</t>
  </si>
  <si>
    <t xml:space="preserve">PED-0261</t>
  </si>
  <si>
    <t xml:space="preserve">PED-0262</t>
  </si>
  <si>
    <t xml:space="preserve">PED-0263</t>
  </si>
  <si>
    <t xml:space="preserve">PED-0264</t>
  </si>
  <si>
    <t xml:space="preserve">PED-0265</t>
  </si>
  <si>
    <t xml:space="preserve">PED-0266</t>
  </si>
  <si>
    <t xml:space="preserve">PED-0267</t>
  </si>
  <si>
    <t xml:space="preserve">PED-0268</t>
  </si>
  <si>
    <t xml:space="preserve">PED-0269</t>
  </si>
  <si>
    <t xml:space="preserve">PED-0270</t>
  </si>
  <si>
    <t xml:space="preserve">PED-0271</t>
  </si>
  <si>
    <t xml:space="preserve">PED-0272</t>
  </si>
  <si>
    <t xml:space="preserve">PED-0273</t>
  </si>
  <si>
    <t xml:space="preserve">PED-0274</t>
  </si>
  <si>
    <t xml:space="preserve">PED-0275</t>
  </si>
  <si>
    <t xml:space="preserve">PED-0276</t>
  </si>
  <si>
    <t xml:space="preserve">PED-0277</t>
  </si>
  <si>
    <t xml:space="preserve">PED-0278</t>
  </si>
  <si>
    <t xml:space="preserve">PED-0279</t>
  </si>
  <si>
    <t xml:space="preserve">PED-0280</t>
  </si>
  <si>
    <t xml:space="preserve">PED-0281</t>
  </si>
  <si>
    <t xml:space="preserve">PED-0282</t>
  </si>
  <si>
    <t xml:space="preserve">PED-0283</t>
  </si>
  <si>
    <t xml:space="preserve">PED-0284</t>
  </si>
  <si>
    <t xml:space="preserve">PED-0285</t>
  </si>
  <si>
    <t xml:space="preserve">PED-0286</t>
  </si>
  <si>
    <t xml:space="preserve">PED-0287</t>
  </si>
  <si>
    <t xml:space="preserve">PED-0288</t>
  </si>
  <si>
    <t xml:space="preserve">PED-0289</t>
  </si>
  <si>
    <t xml:space="preserve">PED-0290</t>
  </si>
  <si>
    <t xml:space="preserve">PED-0291</t>
  </si>
  <si>
    <t xml:space="preserve">PED-0292</t>
  </si>
  <si>
    <t xml:space="preserve">PED-0293</t>
  </si>
  <si>
    <t xml:space="preserve">PED-0294</t>
  </si>
  <si>
    <t xml:space="preserve">PED-0295</t>
  </si>
  <si>
    <t xml:space="preserve">PED-0296</t>
  </si>
  <si>
    <t xml:space="preserve">PED-0297</t>
  </si>
  <si>
    <t xml:space="preserve">PED-0298</t>
  </si>
  <si>
    <t xml:space="preserve">PED-0299</t>
  </si>
  <si>
    <t xml:space="preserve">PED-0300</t>
  </si>
  <si>
    <t xml:space="preserve">PED-0301</t>
  </si>
  <si>
    <t xml:space="preserve">PED-0302</t>
  </si>
  <si>
    <t xml:space="preserve">PED-0303</t>
  </si>
  <si>
    <t xml:space="preserve">PED-0304</t>
  </si>
  <si>
    <t xml:space="preserve">PED-0305</t>
  </si>
  <si>
    <t xml:space="preserve">PED-0306</t>
  </si>
  <si>
    <t xml:space="preserve">PED-0307</t>
  </si>
  <si>
    <t xml:space="preserve">PED-0308</t>
  </si>
  <si>
    <t xml:space="preserve">PED-0309</t>
  </si>
  <si>
    <t xml:space="preserve">PED-0310</t>
  </si>
  <si>
    <t xml:space="preserve">PED-0311</t>
  </si>
  <si>
    <t xml:space="preserve">PED-0312</t>
  </si>
  <si>
    <t xml:space="preserve">PED-0313</t>
  </si>
  <si>
    <t xml:space="preserve">PED-0314</t>
  </si>
  <si>
    <t xml:space="preserve">PED-0315</t>
  </si>
  <si>
    <t xml:space="preserve">PED-0316</t>
  </si>
  <si>
    <t xml:space="preserve">PED-0317</t>
  </si>
  <si>
    <t xml:space="preserve">PED-0318</t>
  </si>
  <si>
    <t xml:space="preserve">PED-0319</t>
  </si>
  <si>
    <t xml:space="preserve">PED-0320</t>
  </si>
  <si>
    <t xml:space="preserve">PED-0321</t>
  </si>
  <si>
    <t xml:space="preserve">PED-0322</t>
  </si>
  <si>
    <t xml:space="preserve">PED-0323</t>
  </si>
  <si>
    <t xml:space="preserve">PED-0324</t>
  </si>
  <si>
    <t xml:space="preserve">PED-0325</t>
  </si>
  <si>
    <t xml:space="preserve">PED-0326</t>
  </si>
  <si>
    <t xml:space="preserve">PED-0327</t>
  </si>
  <si>
    <t xml:space="preserve">PED-0328</t>
  </si>
  <si>
    <t xml:space="preserve">PED-0329</t>
  </si>
  <si>
    <t xml:space="preserve">PED-0330</t>
  </si>
  <si>
    <t xml:space="preserve">PED-0331</t>
  </si>
  <si>
    <t xml:space="preserve">PED-0332</t>
  </si>
  <si>
    <t xml:space="preserve">PED-0333</t>
  </si>
  <si>
    <t xml:space="preserve">PED-0334</t>
  </si>
  <si>
    <t xml:space="preserve">PED-0335</t>
  </si>
  <si>
    <t xml:space="preserve">PED-0336</t>
  </si>
  <si>
    <t xml:space="preserve">PED-0337</t>
  </si>
  <si>
    <t xml:space="preserve">PED-0338</t>
  </si>
  <si>
    <t xml:space="preserve">PED-0339</t>
  </si>
  <si>
    <t xml:space="preserve">PED-0340</t>
  </si>
  <si>
    <t xml:space="preserve">PED-0341</t>
  </si>
  <si>
    <t xml:space="preserve">PED-0342</t>
  </si>
  <si>
    <t xml:space="preserve">PED-0343</t>
  </si>
  <si>
    <t xml:space="preserve">PED-0344</t>
  </si>
  <si>
    <t xml:space="preserve">PED-0345</t>
  </si>
  <si>
    <t xml:space="preserve">PED-0346</t>
  </si>
  <si>
    <t xml:space="preserve">PED-0347</t>
  </si>
  <si>
    <t xml:space="preserve">PED-0348</t>
  </si>
  <si>
    <t xml:space="preserve">PED-0349</t>
  </si>
  <si>
    <t xml:space="preserve">PED-0350</t>
  </si>
  <si>
    <t xml:space="preserve">PED-0351</t>
  </si>
  <si>
    <t xml:space="preserve">PED-0352</t>
  </si>
  <si>
    <t xml:space="preserve">PED-0353</t>
  </si>
  <si>
    <t xml:space="preserve">PED-0354</t>
  </si>
  <si>
    <t xml:space="preserve">PED-0355</t>
  </si>
  <si>
    <t xml:space="preserve">PED-0356</t>
  </si>
  <si>
    <t xml:space="preserve">PED-0357</t>
  </si>
  <si>
    <t xml:space="preserve">PED-0358</t>
  </si>
  <si>
    <t xml:space="preserve">PED-0359</t>
  </si>
  <si>
    <t xml:space="preserve">PED-0360</t>
  </si>
  <si>
    <t xml:space="preserve">PED-0361</t>
  </si>
  <si>
    <t xml:space="preserve">PED-0362</t>
  </si>
  <si>
    <t xml:space="preserve">PED-0363</t>
  </si>
  <si>
    <t xml:space="preserve">PED-0364</t>
  </si>
  <si>
    <t xml:space="preserve">PED-0365</t>
  </si>
  <si>
    <t xml:space="preserve">PED-0366</t>
  </si>
  <si>
    <t xml:space="preserve">PED-0367</t>
  </si>
  <si>
    <t xml:space="preserve">PED-0368</t>
  </si>
  <si>
    <t xml:space="preserve">PED-0369</t>
  </si>
  <si>
    <t xml:space="preserve">PED-0370</t>
  </si>
  <si>
    <t xml:space="preserve">PED-0371</t>
  </si>
  <si>
    <t xml:space="preserve">PED-0372</t>
  </si>
  <si>
    <t xml:space="preserve">PED-0373</t>
  </si>
  <si>
    <t xml:space="preserve">PED-0374</t>
  </si>
  <si>
    <t xml:space="preserve">PED-0375</t>
  </si>
  <si>
    <t xml:space="preserve">PED-0376</t>
  </si>
  <si>
    <t xml:space="preserve">PED-0377</t>
  </si>
  <si>
    <t xml:space="preserve">PED-0378</t>
  </si>
  <si>
    <t xml:space="preserve">PED-0379</t>
  </si>
  <si>
    <t xml:space="preserve">PED-0380</t>
  </si>
  <si>
    <t xml:space="preserve">PED-0381</t>
  </si>
  <si>
    <t xml:space="preserve">PED-0382</t>
  </si>
  <si>
    <t xml:space="preserve">PED-0383</t>
  </si>
  <si>
    <t xml:space="preserve">PED-0384</t>
  </si>
  <si>
    <t xml:space="preserve">PED-0385</t>
  </si>
  <si>
    <t xml:space="preserve">PED-0386</t>
  </si>
  <si>
    <t xml:space="preserve">PED-0387</t>
  </si>
  <si>
    <t xml:space="preserve">PED-0388</t>
  </si>
  <si>
    <t xml:space="preserve">PED-0389</t>
  </si>
  <si>
    <t xml:space="preserve">PED-0390</t>
  </si>
  <si>
    <t xml:space="preserve">PED-0391</t>
  </si>
  <si>
    <t xml:space="preserve">PED-0392</t>
  </si>
  <si>
    <t xml:space="preserve">PED-0393</t>
  </si>
  <si>
    <t xml:space="preserve">PED-0394</t>
  </si>
  <si>
    <t xml:space="preserve">PED-0395</t>
  </si>
  <si>
    <t xml:space="preserve">PED-0396</t>
  </si>
  <si>
    <t xml:space="preserve">PED-0397</t>
  </si>
  <si>
    <t xml:space="preserve">PED-0398</t>
  </si>
  <si>
    <t xml:space="preserve">PED-0399</t>
  </si>
  <si>
    <t xml:space="preserve">PED-0400</t>
  </si>
  <si>
    <t xml:space="preserve">PED-0401</t>
  </si>
  <si>
    <t xml:space="preserve">PED-0402</t>
  </si>
  <si>
    <t xml:space="preserve">PED-0403</t>
  </si>
  <si>
    <t xml:space="preserve">PED-0404</t>
  </si>
  <si>
    <t xml:space="preserve">PED-0405</t>
  </si>
  <si>
    <t xml:space="preserve">PED-0406</t>
  </si>
  <si>
    <t xml:space="preserve">PED-0407</t>
  </si>
  <si>
    <t xml:space="preserve">PED-0408</t>
  </si>
  <si>
    <t xml:space="preserve">PED-0409</t>
  </si>
  <si>
    <t xml:space="preserve">PED-0410</t>
  </si>
  <si>
    <t xml:space="preserve">PED-0411</t>
  </si>
  <si>
    <t xml:space="preserve">PED-0412</t>
  </si>
  <si>
    <t xml:space="preserve">PED-0413</t>
  </si>
  <si>
    <t xml:space="preserve">PED-0414</t>
  </si>
  <si>
    <t xml:space="preserve">PED-0415</t>
  </si>
  <si>
    <t xml:space="preserve">PED-0416</t>
  </si>
  <si>
    <t xml:space="preserve">PED-0417</t>
  </si>
  <si>
    <t xml:space="preserve">PED-0418</t>
  </si>
  <si>
    <t xml:space="preserve">PED-0419</t>
  </si>
  <si>
    <t xml:space="preserve">PED-0420</t>
  </si>
  <si>
    <t xml:space="preserve">PED-0421</t>
  </si>
  <si>
    <t xml:space="preserve">PED-0422</t>
  </si>
  <si>
    <t xml:space="preserve">PED-0423</t>
  </si>
  <si>
    <t xml:space="preserve">PED-0424</t>
  </si>
  <si>
    <t xml:space="preserve">PED-0425</t>
  </si>
  <si>
    <t xml:space="preserve">PED-0426</t>
  </si>
  <si>
    <t xml:space="preserve">PED-0427</t>
  </si>
  <si>
    <t xml:space="preserve">PED-0428</t>
  </si>
  <si>
    <t xml:space="preserve">PED-0429</t>
  </si>
  <si>
    <t xml:space="preserve">PED-0430</t>
  </si>
  <si>
    <t xml:space="preserve">PED-0431</t>
  </si>
  <si>
    <t xml:space="preserve">PED-0432</t>
  </si>
  <si>
    <t xml:space="preserve">PED-0433</t>
  </si>
  <si>
    <t xml:space="preserve">PED-0434</t>
  </si>
  <si>
    <t xml:space="preserve">PED-0435</t>
  </si>
  <si>
    <t xml:space="preserve">PED-0436</t>
  </si>
  <si>
    <t xml:space="preserve">PED-0437</t>
  </si>
  <si>
    <t xml:space="preserve">PED-0438</t>
  </si>
  <si>
    <t xml:space="preserve">PED-0439</t>
  </si>
  <si>
    <t xml:space="preserve">PED-0440</t>
  </si>
  <si>
    <t xml:space="preserve">PED-0441</t>
  </si>
  <si>
    <t xml:space="preserve">PED-0442</t>
  </si>
  <si>
    <t xml:space="preserve">PED-0443</t>
  </si>
  <si>
    <t xml:space="preserve">PED-0444</t>
  </si>
  <si>
    <t xml:space="preserve">PED-0445</t>
  </si>
  <si>
    <t xml:space="preserve">PED-0446</t>
  </si>
  <si>
    <t xml:space="preserve">PED-0447</t>
  </si>
  <si>
    <t xml:space="preserve">PED-0448</t>
  </si>
  <si>
    <t xml:space="preserve">PED-0449</t>
  </si>
  <si>
    <t xml:space="preserve">PED-0450</t>
  </si>
  <si>
    <t xml:space="preserve">PED-0451</t>
  </si>
  <si>
    <t xml:space="preserve">PED-0452</t>
  </si>
  <si>
    <t xml:space="preserve">PED-0453</t>
  </si>
  <si>
    <t xml:space="preserve">PED-0454</t>
  </si>
  <si>
    <t xml:space="preserve">PED-0455</t>
  </si>
  <si>
    <t xml:space="preserve">PED-0456</t>
  </si>
  <si>
    <t xml:space="preserve">PED-0457</t>
  </si>
  <si>
    <t xml:space="preserve">PED-0458</t>
  </si>
  <si>
    <t xml:space="preserve">PED-0459</t>
  </si>
  <si>
    <t xml:space="preserve">PED-0460</t>
  </si>
  <si>
    <t xml:space="preserve">PED-0461</t>
  </si>
  <si>
    <t xml:space="preserve">PED-0462</t>
  </si>
  <si>
    <t xml:space="preserve">PED-0463</t>
  </si>
  <si>
    <t xml:space="preserve">PED-0464</t>
  </si>
  <si>
    <t xml:space="preserve">PED-0465</t>
  </si>
  <si>
    <t xml:space="preserve">PED-0466</t>
  </si>
  <si>
    <t xml:space="preserve">PED-0467</t>
  </si>
  <si>
    <t xml:space="preserve">PED-0468</t>
  </si>
  <si>
    <t xml:space="preserve">PED-0469</t>
  </si>
  <si>
    <t xml:space="preserve">PED-0470</t>
  </si>
  <si>
    <t xml:space="preserve">PED-0471</t>
  </si>
  <si>
    <t xml:space="preserve">PED-0472</t>
  </si>
  <si>
    <t xml:space="preserve">PED-0473</t>
  </si>
  <si>
    <t xml:space="preserve">PED-0474</t>
  </si>
  <si>
    <t xml:space="preserve">PED-0475</t>
  </si>
  <si>
    <t xml:space="preserve">PED-0476</t>
  </si>
  <si>
    <t xml:space="preserve">PED-0477</t>
  </si>
  <si>
    <t xml:space="preserve">PED-0478</t>
  </si>
  <si>
    <t xml:space="preserve">PED-0479</t>
  </si>
  <si>
    <t xml:space="preserve">PED-0480</t>
  </si>
  <si>
    <t xml:space="preserve">PED-0481</t>
  </si>
  <si>
    <t xml:space="preserve">PED-0482</t>
  </si>
  <si>
    <t xml:space="preserve">PED-0483</t>
  </si>
  <si>
    <t xml:space="preserve">PED-0484</t>
  </si>
  <si>
    <t xml:space="preserve">PED-0485</t>
  </si>
  <si>
    <t xml:space="preserve">PED-0486</t>
  </si>
  <si>
    <t xml:space="preserve">PED-0487</t>
  </si>
  <si>
    <t xml:space="preserve">PED-0488</t>
  </si>
  <si>
    <t xml:space="preserve">PED-0489</t>
  </si>
  <si>
    <t xml:space="preserve">PED-0490</t>
  </si>
  <si>
    <t xml:space="preserve">PED-0491</t>
  </si>
  <si>
    <t xml:space="preserve">PED-0492</t>
  </si>
  <si>
    <t xml:space="preserve">PED-0493</t>
  </si>
  <si>
    <t xml:space="preserve">PED-0494</t>
  </si>
  <si>
    <t xml:space="preserve">PED-0495</t>
  </si>
  <si>
    <t xml:space="preserve">PED-0496</t>
  </si>
  <si>
    <t xml:space="preserve">PED-0497</t>
  </si>
  <si>
    <t xml:space="preserve">PED-0498</t>
  </si>
  <si>
    <t xml:space="preserve">PED-0499</t>
  </si>
  <si>
    <t xml:space="preserve">PED-0500</t>
  </si>
  <si>
    <t xml:space="preserve">PED-0501</t>
  </si>
  <si>
    <t xml:space="preserve">PED-0502</t>
  </si>
  <si>
    <t xml:space="preserve">PED-0503</t>
  </si>
  <si>
    <t xml:space="preserve">PED-0504</t>
  </si>
  <si>
    <t xml:space="preserve">PED-0505</t>
  </si>
  <si>
    <t xml:space="preserve">PED-0506</t>
  </si>
  <si>
    <t xml:space="preserve">PED-0507</t>
  </si>
  <si>
    <t xml:space="preserve">PED-0508</t>
  </si>
  <si>
    <t xml:space="preserve">PED-0509</t>
  </si>
  <si>
    <t xml:space="preserve">PED-0510</t>
  </si>
  <si>
    <t xml:space="preserve">PED-0511</t>
  </si>
  <si>
    <t xml:space="preserve">PED-0512</t>
  </si>
  <si>
    <t xml:space="preserve">PED-0513</t>
  </si>
  <si>
    <t xml:space="preserve">PED-0514</t>
  </si>
  <si>
    <t xml:space="preserve">PED-0515</t>
  </si>
  <si>
    <t xml:space="preserve">PED-0516</t>
  </si>
  <si>
    <t xml:space="preserve">PED-0517</t>
  </si>
  <si>
    <t xml:space="preserve">PED-0518</t>
  </si>
  <si>
    <t xml:space="preserve">PED-0519</t>
  </si>
  <si>
    <t xml:space="preserve">PED-0520</t>
  </si>
  <si>
    <t xml:space="preserve">PED-0521</t>
  </si>
  <si>
    <t xml:space="preserve">PED-0522</t>
  </si>
  <si>
    <t xml:space="preserve">PED-0523</t>
  </si>
  <si>
    <t xml:space="preserve">PED-0524</t>
  </si>
  <si>
    <t xml:space="preserve">PED-0525</t>
  </si>
  <si>
    <t xml:space="preserve">PED-0526</t>
  </si>
  <si>
    <t xml:space="preserve">PED-0527</t>
  </si>
  <si>
    <t xml:space="preserve">PED-0528</t>
  </si>
  <si>
    <t xml:space="preserve">PED-0529</t>
  </si>
  <si>
    <t xml:space="preserve">PED-0530</t>
  </si>
  <si>
    <t xml:space="preserve">PED-0531</t>
  </si>
  <si>
    <t xml:space="preserve">PED-0532</t>
  </si>
  <si>
    <t xml:space="preserve">PED-0533</t>
  </si>
  <si>
    <t xml:space="preserve">PED-0534</t>
  </si>
  <si>
    <t xml:space="preserve">PED-0535</t>
  </si>
  <si>
    <t xml:space="preserve">PED-0536</t>
  </si>
  <si>
    <t xml:space="preserve">PED-0537</t>
  </si>
  <si>
    <t xml:space="preserve">PED-0538</t>
  </si>
  <si>
    <t xml:space="preserve">PED-0539</t>
  </si>
  <si>
    <t xml:space="preserve">PED-0540</t>
  </si>
  <si>
    <t xml:space="preserve">PED-0541</t>
  </si>
  <si>
    <t xml:space="preserve">PED-0542</t>
  </si>
  <si>
    <t xml:space="preserve">PED-0543</t>
  </si>
  <si>
    <t xml:space="preserve">PED-0544</t>
  </si>
  <si>
    <t xml:space="preserve">PED-0545</t>
  </si>
  <si>
    <t xml:space="preserve">PED-0546</t>
  </si>
  <si>
    <t xml:space="preserve">PED-0547</t>
  </si>
  <si>
    <t xml:space="preserve">PED-0548</t>
  </si>
  <si>
    <t xml:space="preserve">PED-0549</t>
  </si>
  <si>
    <t xml:space="preserve">PED-0550</t>
  </si>
  <si>
    <t xml:space="preserve">PED-0551</t>
  </si>
  <si>
    <t xml:space="preserve">PED-0552</t>
  </si>
  <si>
    <t xml:space="preserve">PED-0553</t>
  </si>
  <si>
    <t xml:space="preserve">PED-0554</t>
  </si>
  <si>
    <t xml:space="preserve">PED-0555</t>
  </si>
  <si>
    <t xml:space="preserve">PED-0556</t>
  </si>
  <si>
    <t xml:space="preserve">PED-0557</t>
  </si>
  <si>
    <t xml:space="preserve">PED-0558</t>
  </si>
  <si>
    <t xml:space="preserve">PED-0559</t>
  </si>
  <si>
    <t xml:space="preserve">PED-0560</t>
  </si>
  <si>
    <t xml:space="preserve">PED-0561</t>
  </si>
  <si>
    <t xml:space="preserve">PED-0562</t>
  </si>
  <si>
    <t xml:space="preserve">PED-0563</t>
  </si>
  <si>
    <t xml:space="preserve">PED-0564</t>
  </si>
  <si>
    <t xml:space="preserve">PED-0565</t>
  </si>
  <si>
    <t xml:space="preserve">PED-0566</t>
  </si>
  <si>
    <t xml:space="preserve">PED-0567</t>
  </si>
  <si>
    <t xml:space="preserve">PED-0568</t>
  </si>
  <si>
    <t xml:space="preserve">PED-0569</t>
  </si>
  <si>
    <t xml:space="preserve">PED-0570</t>
  </si>
  <si>
    <t xml:space="preserve">PED-0571</t>
  </si>
  <si>
    <t xml:space="preserve">PED-0572</t>
  </si>
  <si>
    <t xml:space="preserve">PED-0573</t>
  </si>
  <si>
    <t xml:space="preserve">PED-0574</t>
  </si>
  <si>
    <t xml:space="preserve">PED-0575</t>
  </si>
  <si>
    <t xml:space="preserve">PED-0576</t>
  </si>
  <si>
    <t xml:space="preserve">PED-0577</t>
  </si>
  <si>
    <t xml:space="preserve">PED-0578</t>
  </si>
  <si>
    <t xml:space="preserve">PED-0579</t>
  </si>
  <si>
    <t xml:space="preserve">PED-0580</t>
  </si>
  <si>
    <t xml:space="preserve">PED-0581</t>
  </si>
  <si>
    <t xml:space="preserve">PED-0582</t>
  </si>
  <si>
    <t xml:space="preserve">PED-0583</t>
  </si>
  <si>
    <t xml:space="preserve">PED-0584</t>
  </si>
  <si>
    <t xml:space="preserve">PED-0585</t>
  </si>
  <si>
    <t xml:space="preserve">PED-0586</t>
  </si>
  <si>
    <t xml:space="preserve">PED-0587</t>
  </si>
  <si>
    <t xml:space="preserve">PED-0588</t>
  </si>
  <si>
    <t xml:space="preserve">PED-0589</t>
  </si>
  <si>
    <t xml:space="preserve">PED-0590</t>
  </si>
  <si>
    <t xml:space="preserve">PED-0591</t>
  </si>
  <si>
    <t xml:space="preserve">PED-0592</t>
  </si>
  <si>
    <t xml:space="preserve">PED-0593</t>
  </si>
  <si>
    <t xml:space="preserve">PED-0594</t>
  </si>
  <si>
    <t xml:space="preserve">PED-0595</t>
  </si>
  <si>
    <t xml:space="preserve">PED-0596</t>
  </si>
  <si>
    <t xml:space="preserve">PED-0597</t>
  </si>
  <si>
    <t xml:space="preserve">PED-0598</t>
  </si>
  <si>
    <t xml:space="preserve">PED-0599</t>
  </si>
  <si>
    <t xml:space="preserve">PED-0600</t>
  </si>
  <si>
    <t xml:space="preserve">PED-0601</t>
  </si>
  <si>
    <t xml:space="preserve">PED-0602</t>
  </si>
  <si>
    <t xml:space="preserve">PED-0603</t>
  </si>
  <si>
    <t xml:space="preserve">PED-0604</t>
  </si>
  <si>
    <t xml:space="preserve">PED-0605</t>
  </si>
  <si>
    <t xml:space="preserve">PED-0606</t>
  </si>
  <si>
    <t xml:space="preserve">PED-0607</t>
  </si>
  <si>
    <t xml:space="preserve">PED-0608</t>
  </si>
  <si>
    <t xml:space="preserve">PED-0609</t>
  </si>
  <si>
    <t xml:space="preserve">PED-0610</t>
  </si>
  <si>
    <t xml:space="preserve">PED-0611</t>
  </si>
  <si>
    <t xml:space="preserve">PED-0612</t>
  </si>
  <si>
    <t xml:space="preserve">PED-0613</t>
  </si>
  <si>
    <t xml:space="preserve">PED-0614</t>
  </si>
  <si>
    <t xml:space="preserve">PED-0615</t>
  </si>
  <si>
    <t xml:space="preserve">PED-0616</t>
  </si>
  <si>
    <t xml:space="preserve">PED-0617</t>
  </si>
  <si>
    <t xml:space="preserve">PED-0618</t>
  </si>
  <si>
    <t xml:space="preserve">PED-0619</t>
  </si>
  <si>
    <t xml:space="preserve">PED-0620</t>
  </si>
  <si>
    <t xml:space="preserve">PED-0621</t>
  </si>
  <si>
    <t xml:space="preserve">PED-0622</t>
  </si>
  <si>
    <t xml:space="preserve">PED-0623</t>
  </si>
  <si>
    <t xml:space="preserve">PED-0624</t>
  </si>
  <si>
    <t xml:space="preserve">PED-0625</t>
  </si>
  <si>
    <t xml:space="preserve">PED-0626</t>
  </si>
  <si>
    <t xml:space="preserve">PED-0627</t>
  </si>
  <si>
    <t xml:space="preserve">PED-0628</t>
  </si>
  <si>
    <t xml:space="preserve">PED-0629</t>
  </si>
  <si>
    <t xml:space="preserve">PED-0630</t>
  </si>
  <si>
    <t xml:space="preserve">PED-0631</t>
  </si>
  <si>
    <t xml:space="preserve">PED-0632</t>
  </si>
  <si>
    <t xml:space="preserve">PED-0633</t>
  </si>
  <si>
    <t xml:space="preserve">PED-0634</t>
  </si>
  <si>
    <t xml:space="preserve">PED-0635</t>
  </si>
  <si>
    <t xml:space="preserve">PED-0636</t>
  </si>
  <si>
    <t xml:space="preserve">PED-0637</t>
  </si>
  <si>
    <t xml:space="preserve">PED-0638</t>
  </si>
  <si>
    <t xml:space="preserve">PED-0639</t>
  </si>
  <si>
    <t xml:space="preserve">PED-0640</t>
  </si>
  <si>
    <t xml:space="preserve">PED-0641</t>
  </si>
  <si>
    <t xml:space="preserve">PED-0642</t>
  </si>
  <si>
    <t xml:space="preserve">PED-0643</t>
  </si>
  <si>
    <t xml:space="preserve">PED-0644</t>
  </si>
  <si>
    <t xml:space="preserve">PED-0645</t>
  </si>
  <si>
    <t xml:space="preserve">PED-0646</t>
  </si>
  <si>
    <t xml:space="preserve">PED-0647</t>
  </si>
  <si>
    <t xml:space="preserve">PED-0648</t>
  </si>
  <si>
    <t xml:space="preserve">PED-0649</t>
  </si>
  <si>
    <t xml:space="preserve">PED-0650</t>
  </si>
  <si>
    <t xml:space="preserve">PED-0651</t>
  </si>
  <si>
    <t xml:space="preserve">PED-0652</t>
  </si>
  <si>
    <t xml:space="preserve">PED-0653</t>
  </si>
  <si>
    <t xml:space="preserve">PED-0654</t>
  </si>
  <si>
    <t xml:space="preserve">PED-0655</t>
  </si>
  <si>
    <t xml:space="preserve">PED-0656</t>
  </si>
  <si>
    <t xml:space="preserve">PED-0657</t>
  </si>
  <si>
    <t xml:space="preserve">PED-0658</t>
  </si>
  <si>
    <t xml:space="preserve">PED-0659</t>
  </si>
  <si>
    <t xml:space="preserve">PED-0660</t>
  </si>
  <si>
    <t xml:space="preserve">PED-0661</t>
  </si>
  <si>
    <t xml:space="preserve">PED-0662</t>
  </si>
  <si>
    <t xml:space="preserve">PED-0663</t>
  </si>
  <si>
    <t xml:space="preserve">PED-0664</t>
  </si>
  <si>
    <t xml:space="preserve">PED-0665</t>
  </si>
  <si>
    <t xml:space="preserve">PED-0666</t>
  </si>
  <si>
    <t xml:space="preserve">PED-0667</t>
  </si>
  <si>
    <t xml:space="preserve">PED-0668</t>
  </si>
  <si>
    <t xml:space="preserve">PED-0669</t>
  </si>
  <si>
    <t xml:space="preserve">PED-0670</t>
  </si>
  <si>
    <t xml:space="preserve">PED-0671</t>
  </si>
  <si>
    <t xml:space="preserve">PED-0672</t>
  </si>
  <si>
    <t xml:space="preserve">PED-0673</t>
  </si>
  <si>
    <t xml:space="preserve">PED-0674</t>
  </si>
  <si>
    <t xml:space="preserve">PED-0675</t>
  </si>
  <si>
    <t xml:space="preserve">PED-0676</t>
  </si>
  <si>
    <t xml:space="preserve">PED-0677</t>
  </si>
  <si>
    <t xml:space="preserve">PED-0678</t>
  </si>
  <si>
    <t xml:space="preserve">PED-0679</t>
  </si>
  <si>
    <t xml:space="preserve">PED-0680</t>
  </si>
  <si>
    <t xml:space="preserve">PED-0681</t>
  </si>
  <si>
    <t xml:space="preserve">PED-0682</t>
  </si>
  <si>
    <t xml:space="preserve">PED-0683</t>
  </si>
  <si>
    <t xml:space="preserve">PED-0684</t>
  </si>
  <si>
    <t xml:space="preserve">PED-0685</t>
  </si>
  <si>
    <t xml:space="preserve">PED-0686</t>
  </si>
  <si>
    <t xml:space="preserve">PED-0687</t>
  </si>
  <si>
    <t xml:space="preserve">PED-0688</t>
  </si>
  <si>
    <t xml:space="preserve">PED-0689</t>
  </si>
  <si>
    <t xml:space="preserve">PED-0690</t>
  </si>
  <si>
    <t xml:space="preserve">PED-0691</t>
  </si>
  <si>
    <t xml:space="preserve">PED-0692</t>
  </si>
  <si>
    <t xml:space="preserve">PED-0693</t>
  </si>
  <si>
    <t xml:space="preserve">PED-0694</t>
  </si>
  <si>
    <t xml:space="preserve">PED-0695</t>
  </si>
  <si>
    <t xml:space="preserve">PED-0696</t>
  </si>
  <si>
    <t xml:space="preserve">PED-0697</t>
  </si>
  <si>
    <t xml:space="preserve">PED-0698</t>
  </si>
  <si>
    <t xml:space="preserve">PED-0699</t>
  </si>
  <si>
    <t xml:space="preserve">PED-0700</t>
  </si>
  <si>
    <t xml:space="preserve">PED-0701</t>
  </si>
  <si>
    <t xml:space="preserve">PED-0702</t>
  </si>
  <si>
    <t xml:space="preserve">PED-0703</t>
  </si>
  <si>
    <t xml:space="preserve">PED-0704</t>
  </si>
  <si>
    <t xml:space="preserve">PED-0705</t>
  </si>
  <si>
    <t xml:space="preserve">PED-0706</t>
  </si>
  <si>
    <t xml:space="preserve">PED-0707</t>
  </si>
  <si>
    <t xml:space="preserve">PED-0708</t>
  </si>
  <si>
    <t xml:space="preserve">PED-0709</t>
  </si>
  <si>
    <t xml:space="preserve">PED-0710</t>
  </si>
  <si>
    <t xml:space="preserve">PED-0711</t>
  </si>
  <si>
    <t xml:space="preserve">PED-0712</t>
  </si>
  <si>
    <t xml:space="preserve">PED-0713</t>
  </si>
  <si>
    <t xml:space="preserve">PED-0714</t>
  </si>
  <si>
    <t xml:space="preserve">PED-0715</t>
  </si>
  <si>
    <t xml:space="preserve">PED-0716</t>
  </si>
  <si>
    <t xml:space="preserve">PED-0717</t>
  </si>
  <si>
    <t xml:space="preserve">PED-0718</t>
  </si>
  <si>
    <t xml:space="preserve">PED-0719</t>
  </si>
  <si>
    <t xml:space="preserve">PED-0720</t>
  </si>
  <si>
    <t xml:space="preserve">PED-0721</t>
  </si>
  <si>
    <t xml:space="preserve">PED-0722</t>
  </si>
  <si>
    <t xml:space="preserve">PED-0723</t>
  </si>
  <si>
    <t xml:space="preserve">PED-0724</t>
  </si>
  <si>
    <t xml:space="preserve">PED-0725</t>
  </si>
  <si>
    <t xml:space="preserve">PED-0726</t>
  </si>
  <si>
    <t xml:space="preserve">PED-0727</t>
  </si>
  <si>
    <t xml:space="preserve">PED-0728</t>
  </si>
  <si>
    <t xml:space="preserve">PED-0729</t>
  </si>
  <si>
    <t xml:space="preserve">PED-0730</t>
  </si>
  <si>
    <t xml:space="preserve">PED-0731</t>
  </si>
  <si>
    <t xml:space="preserve">PED-0732</t>
  </si>
  <si>
    <t xml:space="preserve">PED-0733</t>
  </si>
  <si>
    <t xml:space="preserve">PED-0734</t>
  </si>
  <si>
    <t xml:space="preserve">PED-0735</t>
  </si>
  <si>
    <t xml:space="preserve">PED-0736</t>
  </si>
  <si>
    <t xml:space="preserve">PED-0737</t>
  </si>
  <si>
    <t xml:space="preserve">PED-0738</t>
  </si>
  <si>
    <t xml:space="preserve">PED-0739</t>
  </si>
  <si>
    <t xml:space="preserve">PED-0740</t>
  </si>
  <si>
    <t xml:space="preserve">PED-0741</t>
  </si>
  <si>
    <t xml:space="preserve">PED-0742</t>
  </si>
  <si>
    <t xml:space="preserve">PED-0743</t>
  </si>
  <si>
    <t xml:space="preserve">PED-0744</t>
  </si>
  <si>
    <t xml:space="preserve">PED-0745</t>
  </si>
  <si>
    <t xml:space="preserve">PED-0746</t>
  </si>
  <si>
    <t xml:space="preserve">PED-0747</t>
  </si>
  <si>
    <t xml:space="preserve">PED-0748</t>
  </si>
  <si>
    <t xml:space="preserve">PED-0749</t>
  </si>
  <si>
    <t xml:space="preserve">PED-0750</t>
  </si>
  <si>
    <t xml:space="preserve">PED-0751</t>
  </si>
  <si>
    <t xml:space="preserve">PED-0752</t>
  </si>
  <si>
    <t xml:space="preserve">PED-0753</t>
  </si>
  <si>
    <t xml:space="preserve">PED-0754</t>
  </si>
  <si>
    <t xml:space="preserve">PED-0755</t>
  </si>
  <si>
    <t xml:space="preserve">PED-0756</t>
  </si>
  <si>
    <t xml:space="preserve">PED-0757</t>
  </si>
  <si>
    <t xml:space="preserve">PED-0758</t>
  </si>
  <si>
    <t xml:space="preserve">PED-0759</t>
  </si>
  <si>
    <t xml:space="preserve">PED-0760</t>
  </si>
  <si>
    <t xml:space="preserve">PED-0761</t>
  </si>
  <si>
    <t xml:space="preserve">PED-0762</t>
  </si>
  <si>
    <t xml:space="preserve">PED-0763</t>
  </si>
  <si>
    <t xml:space="preserve">PED-0764</t>
  </si>
  <si>
    <t xml:space="preserve">PED-0765</t>
  </si>
  <si>
    <t xml:space="preserve">PED-0766</t>
  </si>
  <si>
    <t xml:space="preserve">PED-0767</t>
  </si>
  <si>
    <t xml:space="preserve">PED-0768</t>
  </si>
  <si>
    <t xml:space="preserve">PED-0769</t>
  </si>
  <si>
    <t xml:space="preserve">PED-0770</t>
  </si>
  <si>
    <t xml:space="preserve">PED-0771</t>
  </si>
  <si>
    <t xml:space="preserve">PED-0772</t>
  </si>
  <si>
    <t xml:space="preserve">PED-0773</t>
  </si>
  <si>
    <t xml:space="preserve">PED-0774</t>
  </si>
  <si>
    <t xml:space="preserve">PED-0775</t>
  </si>
  <si>
    <t xml:space="preserve">PED-0776</t>
  </si>
  <si>
    <t xml:space="preserve">PED-0777</t>
  </si>
  <si>
    <t xml:space="preserve">PED-0778</t>
  </si>
  <si>
    <t xml:space="preserve">PED-0779</t>
  </si>
  <si>
    <t xml:space="preserve">PED-0780</t>
  </si>
  <si>
    <t xml:space="preserve">PED-0781</t>
  </si>
  <si>
    <t xml:space="preserve">PED-0782</t>
  </si>
  <si>
    <t xml:space="preserve">PED-0783</t>
  </si>
  <si>
    <t xml:space="preserve">PED-0784</t>
  </si>
  <si>
    <t xml:space="preserve">PED-0785</t>
  </si>
  <si>
    <t xml:space="preserve">PED-0786</t>
  </si>
  <si>
    <t xml:space="preserve">PED-0787</t>
  </si>
  <si>
    <t xml:space="preserve">PED-0788</t>
  </si>
  <si>
    <t xml:space="preserve">PED-0789</t>
  </si>
  <si>
    <t xml:space="preserve">PED-0790</t>
  </si>
  <si>
    <t xml:space="preserve">PED-0791</t>
  </si>
  <si>
    <t xml:space="preserve">PED-0792</t>
  </si>
  <si>
    <t xml:space="preserve">PED-0793</t>
  </si>
  <si>
    <t xml:space="preserve">PED-0794</t>
  </si>
  <si>
    <t xml:space="preserve">PED-0795</t>
  </si>
  <si>
    <t xml:space="preserve">PED-0796</t>
  </si>
  <si>
    <t xml:space="preserve">PED-0797</t>
  </si>
  <si>
    <t xml:space="preserve">PED-0798</t>
  </si>
  <si>
    <t xml:space="preserve">PED-0799</t>
  </si>
  <si>
    <t xml:space="preserve">PED-0800</t>
  </si>
  <si>
    <t xml:space="preserve">PED-0801</t>
  </si>
  <si>
    <t xml:space="preserve">PED-0802</t>
  </si>
  <si>
    <t xml:space="preserve">PED-0803</t>
  </si>
  <si>
    <t xml:space="preserve">PED-0804</t>
  </si>
  <si>
    <t xml:space="preserve">PED-0805</t>
  </si>
  <si>
    <t xml:space="preserve">PED-0806</t>
  </si>
  <si>
    <t xml:space="preserve">PED-0807</t>
  </si>
  <si>
    <t xml:space="preserve">PED-0808</t>
  </si>
  <si>
    <t xml:space="preserve">PED-0809</t>
  </si>
  <si>
    <t xml:space="preserve">PED-0810</t>
  </si>
  <si>
    <t xml:space="preserve">PED-0811</t>
  </si>
  <si>
    <t xml:space="preserve">PED-0812</t>
  </si>
  <si>
    <t xml:space="preserve">PED-0813</t>
  </si>
  <si>
    <t xml:space="preserve">PED-0814</t>
  </si>
  <si>
    <t xml:space="preserve">PED-0815</t>
  </si>
  <si>
    <t xml:space="preserve">PED-0816</t>
  </si>
  <si>
    <t xml:space="preserve">PED-0817</t>
  </si>
  <si>
    <t xml:space="preserve">PED-0818</t>
  </si>
  <si>
    <t xml:space="preserve">PED-0819</t>
  </si>
  <si>
    <t xml:space="preserve">PED-0820</t>
  </si>
  <si>
    <t xml:space="preserve">PED-0821</t>
  </si>
  <si>
    <t xml:space="preserve">PED-0822</t>
  </si>
  <si>
    <t xml:space="preserve">PED-0823</t>
  </si>
  <si>
    <t xml:space="preserve">PED-0824</t>
  </si>
  <si>
    <t xml:space="preserve">PED-0825</t>
  </si>
  <si>
    <t xml:space="preserve">PED-0826</t>
  </si>
  <si>
    <t xml:space="preserve">PED-0827</t>
  </si>
  <si>
    <t xml:space="preserve">PED-0828</t>
  </si>
  <si>
    <t xml:space="preserve">PED-0829</t>
  </si>
  <si>
    <t xml:space="preserve">PED-0830</t>
  </si>
  <si>
    <t xml:space="preserve">PED-0831</t>
  </si>
  <si>
    <t xml:space="preserve">PED-0832</t>
  </si>
  <si>
    <t xml:space="preserve">PED-0833</t>
  </si>
  <si>
    <t xml:space="preserve">PED-0834</t>
  </si>
  <si>
    <t xml:space="preserve">PED-0835</t>
  </si>
  <si>
    <t xml:space="preserve">PED-0836</t>
  </si>
  <si>
    <t xml:space="preserve">PED-0837</t>
  </si>
  <si>
    <t xml:space="preserve">PED-0838</t>
  </si>
  <si>
    <t xml:space="preserve">PED-0839</t>
  </si>
  <si>
    <t xml:space="preserve">PED-0840</t>
  </si>
  <si>
    <t xml:space="preserve">PED-0841</t>
  </si>
  <si>
    <t xml:space="preserve">PED-0842</t>
  </si>
  <si>
    <t xml:space="preserve">PED-0843</t>
  </si>
  <si>
    <t xml:space="preserve">PED-0844</t>
  </si>
  <si>
    <t xml:space="preserve">PED-0845</t>
  </si>
  <si>
    <t xml:space="preserve">PED-0846</t>
  </si>
  <si>
    <t xml:space="preserve">PED-0847</t>
  </si>
  <si>
    <t xml:space="preserve">PED-0848</t>
  </si>
  <si>
    <t xml:space="preserve">PED-0849</t>
  </si>
  <si>
    <t xml:space="preserve">PED-0850</t>
  </si>
  <si>
    <t xml:space="preserve">PED-0851</t>
  </si>
  <si>
    <t xml:space="preserve">PED-0852</t>
  </si>
  <si>
    <t xml:space="preserve">PED-0853</t>
  </si>
  <si>
    <t xml:space="preserve">PED-0854</t>
  </si>
  <si>
    <t xml:space="preserve">PED-0855</t>
  </si>
  <si>
    <t xml:space="preserve">PED-0856</t>
  </si>
  <si>
    <t xml:space="preserve">PED-0857</t>
  </si>
  <si>
    <t xml:space="preserve">PED-0858</t>
  </si>
  <si>
    <t xml:space="preserve">PED-0859</t>
  </si>
  <si>
    <t xml:space="preserve">PED-0860</t>
  </si>
  <si>
    <t xml:space="preserve">PED-0861</t>
  </si>
  <si>
    <t xml:space="preserve">PED-0862</t>
  </si>
  <si>
    <t xml:space="preserve">PED-0863</t>
  </si>
  <si>
    <t xml:space="preserve">PED-0864</t>
  </si>
  <si>
    <t xml:space="preserve">PED-0865</t>
  </si>
  <si>
    <t xml:space="preserve">PED-0866</t>
  </si>
  <si>
    <t xml:space="preserve">PED-0867</t>
  </si>
  <si>
    <t xml:space="preserve">PED-0868</t>
  </si>
  <si>
    <t xml:space="preserve">PED-0869</t>
  </si>
  <si>
    <t xml:space="preserve">PED-0870</t>
  </si>
  <si>
    <t xml:space="preserve">PED-0871</t>
  </si>
  <si>
    <t xml:space="preserve">PED-0872</t>
  </si>
  <si>
    <t xml:space="preserve">PED-0873</t>
  </si>
  <si>
    <t xml:space="preserve">PED-0874</t>
  </si>
  <si>
    <t xml:space="preserve">PED-0875</t>
  </si>
  <si>
    <t xml:space="preserve">PED-0876</t>
  </si>
  <si>
    <t xml:space="preserve">PED-0877</t>
  </si>
  <si>
    <t xml:space="preserve">PED-0878</t>
  </si>
  <si>
    <t xml:space="preserve">PED-0879</t>
  </si>
  <si>
    <t xml:space="preserve">PED-0880</t>
  </si>
  <si>
    <t xml:space="preserve">PED-0881</t>
  </si>
  <si>
    <t xml:space="preserve">PED-0882</t>
  </si>
  <si>
    <t xml:space="preserve">PED-0883</t>
  </si>
  <si>
    <t xml:space="preserve">PED-0884</t>
  </si>
  <si>
    <t xml:space="preserve">PED-0885</t>
  </si>
  <si>
    <t xml:space="preserve">PED-0886</t>
  </si>
  <si>
    <t xml:space="preserve">PED-0887</t>
  </si>
  <si>
    <t xml:space="preserve">PED-0888</t>
  </si>
  <si>
    <t xml:space="preserve">PED-0889</t>
  </si>
  <si>
    <t xml:space="preserve">PED-0890</t>
  </si>
  <si>
    <t xml:space="preserve">PED-0891</t>
  </si>
  <si>
    <t xml:space="preserve">PED-0892</t>
  </si>
  <si>
    <t xml:space="preserve">PED-0893</t>
  </si>
  <si>
    <t xml:space="preserve">PED-0894</t>
  </si>
  <si>
    <t xml:space="preserve">PED-0895</t>
  </si>
  <si>
    <t xml:space="preserve">PED-0896</t>
  </si>
  <si>
    <t xml:space="preserve">PED-0897</t>
  </si>
  <si>
    <t xml:space="preserve">PED-0898</t>
  </si>
  <si>
    <t xml:space="preserve">PED-0899</t>
  </si>
  <si>
    <t xml:space="preserve">PED-0900</t>
  </si>
  <si>
    <t xml:space="preserve">Apoio: listas, critérios dos filtros e tabelas que alimentam os gráficos (não editar as células cinzas)</t>
  </si>
  <si>
    <t xml:space="preserve">Anos</t>
  </si>
  <si>
    <t xml:space="preserve">Regiões</t>
  </si>
  <si>
    <t xml:space="preserve">Categorias</t>
  </si>
  <si>
    <t xml:space="preserve">Canais</t>
  </si>
  <si>
    <t xml:space="preserve">Critério</t>
  </si>
  <si>
    <t xml:space="preserve">Valor</t>
  </si>
  <si>
    <t xml:space="preserve">Mês (início)</t>
  </si>
  <si>
    <t xml:space="preserve">Rótulo</t>
  </si>
  <si>
    <t xml:space="preserve">Início do período</t>
  </si>
  <si>
    <t xml:space="preserve">Fim do período</t>
  </si>
  <si>
    <t xml:space="preserve">Chave de desempate</t>
  </si>
  <si>
    <t xml:space="preserve">Posição</t>
  </si>
  <si>
    <t xml:space="preserve">Produto (Top 5)</t>
  </si>
  <si>
    <t xml:space="preserve">Evolução mensal: respeita Região, Categoria e Canal, mas mostra todos os anos (não respeita o filtro de Ano).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</si>
</sst>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0.0%"/>
    <numFmt numFmtId="167" formatCode="#,##0"/>
    <numFmt numFmtId="168" formatCode="dd/mm/yyyy"/>
    <numFmt numFmtId="169" formatCode="&quot;R$ &quot;#,##0.00"/>
    <numFmt numFmtId="170" formatCode="mm/yyyy"/>
    <numFmt numFmtId="171" formatCode="0.000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  <fill>
      <patternFill patternType="solid">
        <fgColor rgb="FF2F5496"/>
        <bgColor rgb="FF1F3864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Apoio!B11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f5496"/>
            </a:solidFill>
            <a:ln w="0">
              <a:solidFill>
                <a:srgbClr val="2f549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Apoio!$A$12:$A$15</c:f>
              <c:strCache>
                <c:ptCount val="4"/>
                <c:pt idx="0">
                  <c:v>Console</c:v>
                </c:pt>
                <c:pt idx="1">
                  <c:v>Acessório</c:v>
                </c:pt>
                <c:pt idx="2">
                  <c:v>Jogo</c:v>
                </c:pt>
                <c:pt idx="3">
                  <c:v>Assinatura</c:v>
                </c:pt>
              </c:strCache>
            </c:strRef>
          </c:cat>
          <c:val>
            <c:numRef>
              <c:f>Apoio!$B$12:$B$15</c:f>
              <c:numCache>
                <c:formatCode>"R$ "#,##0</c:formatCode>
                <c:ptCount val="4"/>
                <c:pt idx="0">
                  <c:v>361600</c:v>
                </c:pt>
                <c:pt idx="1">
                  <c:v>325310</c:v>
                </c:pt>
                <c:pt idx="2">
                  <c:v>206590</c:v>
                </c:pt>
                <c:pt idx="3">
                  <c:v>83990</c:v>
                </c:pt>
              </c:numCache>
            </c:numRef>
          </c:val>
        </c:ser>
        <c:gapWidth val="150"/>
        <c:overlap val="0"/>
        <c:axId val="90827504"/>
        <c:axId val="30523236"/>
      </c:barChart>
      <c:catAx>
        <c:axId val="908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23236"/>
        <c:crosses val="autoZero"/>
        <c:auto val="1"/>
        <c:lblAlgn val="ctr"/>
        <c:lblOffset val="100"/>
        <c:noMultiLvlLbl val="0"/>
      </c:catAx>
      <c:valAx>
        <c:axId val="30523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275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Apoio!H11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Apoio!$G$12:$G$13</c:f>
              <c:strCache>
                <c:ptCount val="2"/>
                <c:pt idx="0">
                  <c:v>Loja física</c:v>
                </c:pt>
                <c:pt idx="1">
                  <c:v>Online</c:v>
                </c:pt>
              </c:strCache>
            </c:strRef>
          </c:cat>
          <c:val>
            <c:numRef>
              <c:f>Apoio!$H$12:$H$13</c:f>
              <c:numCache>
                <c:formatCode>"R$ "#,##0</c:formatCode>
                <c:ptCount val="2"/>
                <c:pt idx="0">
                  <c:v>397995</c:v>
                </c:pt>
                <c:pt idx="1">
                  <c:v>579495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mensal da receita (todos os anos)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Apoio!M2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f5496"/>
            </a:solidFill>
            <a:ln w="2844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Apoio!$L$3:$L$35</c:f>
              <c:strCache>
                <c:ptCount val="33"/>
                <c:pt idx="0">
                  <c:v>jan/24</c:v>
                </c:pt>
                <c:pt idx="1">
                  <c:v>fev/24</c:v>
                </c:pt>
                <c:pt idx="2">
                  <c:v>mar/24</c:v>
                </c:pt>
                <c:pt idx="3">
                  <c:v>abr/24</c:v>
                </c:pt>
                <c:pt idx="4">
                  <c:v>mai/24</c:v>
                </c:pt>
                <c:pt idx="5">
                  <c:v>jun/24</c:v>
                </c:pt>
                <c:pt idx="6">
                  <c:v>jul/24</c:v>
                </c:pt>
                <c:pt idx="7">
                  <c:v>ago/24</c:v>
                </c:pt>
                <c:pt idx="8">
                  <c:v>set/24</c:v>
                </c:pt>
                <c:pt idx="9">
                  <c:v>out/24</c:v>
                </c:pt>
                <c:pt idx="10">
                  <c:v>nov/24</c:v>
                </c:pt>
                <c:pt idx="11">
                  <c:v>dez/24</c:v>
                </c:pt>
                <c:pt idx="12">
                  <c:v>jan/25</c:v>
                </c:pt>
                <c:pt idx="13">
                  <c:v>fev/25</c:v>
                </c:pt>
                <c:pt idx="14">
                  <c:v>mar/25</c:v>
                </c:pt>
                <c:pt idx="15">
                  <c:v>abr/25</c:v>
                </c:pt>
                <c:pt idx="16">
                  <c:v>mai/25</c:v>
                </c:pt>
                <c:pt idx="17">
                  <c:v>jun/25</c:v>
                </c:pt>
                <c:pt idx="18">
                  <c:v>jul/25</c:v>
                </c:pt>
                <c:pt idx="19">
                  <c:v>ago/25</c:v>
                </c:pt>
                <c:pt idx="20">
                  <c:v>set/25</c:v>
                </c:pt>
                <c:pt idx="21">
                  <c:v>out/25</c:v>
                </c:pt>
                <c:pt idx="22">
                  <c:v>nov/25</c:v>
                </c:pt>
                <c:pt idx="23">
                  <c:v>dez/25</c:v>
                </c:pt>
                <c:pt idx="24">
                  <c:v>jan/26</c:v>
                </c:pt>
                <c:pt idx="25">
                  <c:v>fev/26</c:v>
                </c:pt>
                <c:pt idx="26">
                  <c:v>mar/26</c:v>
                </c:pt>
                <c:pt idx="27">
                  <c:v>abr/26</c:v>
                </c:pt>
                <c:pt idx="28">
                  <c:v>mai/26</c:v>
                </c:pt>
                <c:pt idx="29">
                  <c:v>jun/26</c:v>
                </c:pt>
                <c:pt idx="30">
                  <c:v>jul/26</c:v>
                </c:pt>
                <c:pt idx="31">
                  <c:v>ago/26</c:v>
                </c:pt>
                <c:pt idx="32">
                  <c:v>set/26</c:v>
                </c:pt>
              </c:strCache>
            </c:strRef>
          </c:cat>
          <c:val>
            <c:numRef>
              <c:f>Apoio!$M$3:$M$35</c:f>
              <c:numCache>
                <c:formatCode>"R$ "#,##0</c:formatCode>
                <c:ptCount val="33"/>
                <c:pt idx="0">
                  <c:v>12825</c:v>
                </c:pt>
                <c:pt idx="1">
                  <c:v>18645</c:v>
                </c:pt>
                <c:pt idx="2">
                  <c:v>22690</c:v>
                </c:pt>
                <c:pt idx="3">
                  <c:v>28390</c:v>
                </c:pt>
                <c:pt idx="4">
                  <c:v>23955</c:v>
                </c:pt>
                <c:pt idx="5">
                  <c:v>12245</c:v>
                </c:pt>
                <c:pt idx="6">
                  <c:v>13955</c:v>
                </c:pt>
                <c:pt idx="7">
                  <c:v>18730</c:v>
                </c:pt>
                <c:pt idx="8">
                  <c:v>15445</c:v>
                </c:pt>
                <c:pt idx="9">
                  <c:v>23320</c:v>
                </c:pt>
                <c:pt idx="10">
                  <c:v>32815</c:v>
                </c:pt>
                <c:pt idx="11">
                  <c:v>34890</c:v>
                </c:pt>
                <c:pt idx="12">
                  <c:v>48785</c:v>
                </c:pt>
                <c:pt idx="13">
                  <c:v>18745</c:v>
                </c:pt>
                <c:pt idx="14">
                  <c:v>21985</c:v>
                </c:pt>
                <c:pt idx="15">
                  <c:v>23900</c:v>
                </c:pt>
                <c:pt idx="16">
                  <c:v>38000</c:v>
                </c:pt>
                <c:pt idx="17">
                  <c:v>25690</c:v>
                </c:pt>
                <c:pt idx="18">
                  <c:v>15335</c:v>
                </c:pt>
                <c:pt idx="19">
                  <c:v>31180</c:v>
                </c:pt>
                <c:pt idx="20">
                  <c:v>19255</c:v>
                </c:pt>
                <c:pt idx="21">
                  <c:v>33230</c:v>
                </c:pt>
                <c:pt idx="22">
                  <c:v>35330</c:v>
                </c:pt>
                <c:pt idx="23">
                  <c:v>79300</c:v>
                </c:pt>
                <c:pt idx="24">
                  <c:v>54275</c:v>
                </c:pt>
                <c:pt idx="25">
                  <c:v>50260</c:v>
                </c:pt>
                <c:pt idx="26">
                  <c:v>26545</c:v>
                </c:pt>
                <c:pt idx="27">
                  <c:v>42135</c:v>
                </c:pt>
                <c:pt idx="28">
                  <c:v>20340</c:v>
                </c:pt>
                <c:pt idx="29">
                  <c:v>34060</c:v>
                </c:pt>
                <c:pt idx="30">
                  <c:v>46570</c:v>
                </c:pt>
                <c:pt idx="31">
                  <c:v>34565</c:v>
                </c:pt>
                <c:pt idx="32">
                  <c:v>20100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54260"/>
        <c:axId val="69080480"/>
      </c:lineChart>
      <c:catAx>
        <c:axId val="72254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80480"/>
        <c:crosses val="autoZero"/>
        <c:auto val="1"/>
        <c:lblAlgn val="ctr"/>
        <c:lblOffset val="100"/>
        <c:noMultiLvlLbl val="0"/>
      </c:catAx>
      <c:valAx>
        <c:axId val="69080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54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Apoio!E11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Apoio!$D$12:$D$16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Apoio!$E$12:$E$16</c:f>
              <c:numCache>
                <c:formatCode>"R$ "#,##0</c:formatCode>
                <c:ptCount val="5"/>
                <c:pt idx="0">
                  <c:v>46810</c:v>
                </c:pt>
                <c:pt idx="1">
                  <c:v>209010</c:v>
                </c:pt>
                <c:pt idx="2">
                  <c:v>132450</c:v>
                </c:pt>
                <c:pt idx="3">
                  <c:v>398285</c:v>
                </c:pt>
                <c:pt idx="4">
                  <c:v>190935</c:v>
                </c:pt>
              </c:numCache>
            </c:numRef>
          </c:val>
        </c:ser>
        <c:gapWidth val="150"/>
        <c:overlap val="0"/>
        <c:axId val="11329075"/>
        <c:axId val="55733935"/>
      </c:barChart>
      <c:catAx>
        <c:axId val="11329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33935"/>
        <c:crosses val="autoZero"/>
        <c:auto val="1"/>
        <c:lblAlgn val="ctr"/>
        <c:lblOffset val="100"/>
        <c:noMultiLvlLbl val="0"/>
      </c:catAx>
      <c:valAx>
        <c:axId val="55733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29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produtos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Apoio!I19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bf8f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Apoio!$H$20:$H$24</c:f>
              <c:strCache>
                <c:ptCount val="5"/>
                <c:pt idx="0">
                  <c:v>Console Pro</c:v>
                </c:pt>
                <c:pt idx="1">
                  <c:v>Console Lite</c:v>
                </c:pt>
                <c:pt idx="2">
                  <c:v>Headset Gamer</c:v>
                </c:pt>
                <c:pt idx="3">
                  <c:v>Controle sem fio</c:v>
                </c:pt>
                <c:pt idx="4">
                  <c:v>Cartão de memória</c:v>
                </c:pt>
              </c:strCache>
            </c:strRef>
          </c:cat>
          <c:val>
            <c:numRef>
              <c:f>Apoio!$I$20:$I$24</c:f>
              <c:numCache>
                <c:formatCode>"R$ "#,##0</c:formatCode>
                <c:ptCount val="5"/>
                <c:pt idx="0">
                  <c:v>184800</c:v>
                </c:pt>
                <c:pt idx="1">
                  <c:v>176800</c:v>
                </c:pt>
                <c:pt idx="2">
                  <c:v>126360</c:v>
                </c:pt>
                <c:pt idx="3">
                  <c:v>121050</c:v>
                </c:pt>
                <c:pt idx="4">
                  <c:v>77900</c:v>
                </c:pt>
              </c:numCache>
            </c:numRef>
          </c:val>
        </c:ser>
        <c:gapWidth val="150"/>
        <c:overlap val="0"/>
        <c:axId val="43761432"/>
        <c:axId val="45128337"/>
      </c:barChart>
      <c:catAx>
        <c:axId val="43761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28337"/>
        <c:crosses val="autoZero"/>
        <c:auto val="1"/>
        <c:lblAlgn val="ctr"/>
        <c:lblOffset val="100"/>
        <c:noMultiLvlLbl val="0"/>
      </c:catAx>
      <c:valAx>
        <c:axId val="45128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61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774720</xdr:colOff>
      <xdr:row>25</xdr:row>
      <xdr:rowOff>68760</xdr:rowOff>
    </xdr:to>
    <xdr:graphicFrame>
      <xdr:nvGraphicFramePr>
        <xdr:cNvPr id="0" name="Chart 1"/>
        <xdr:cNvGraphicFramePr/>
      </xdr:nvGraphicFramePr>
      <xdr:xfrm>
        <a:off x="141120" y="2152800"/>
        <a:ext cx="50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12</xdr:col>
      <xdr:colOff>774720</xdr:colOff>
      <xdr:row>25</xdr:row>
      <xdr:rowOff>68760</xdr:rowOff>
    </xdr:to>
    <xdr:graphicFrame>
      <xdr:nvGraphicFramePr>
        <xdr:cNvPr id="1" name="Chart 2"/>
        <xdr:cNvGraphicFramePr/>
      </xdr:nvGraphicFramePr>
      <xdr:xfrm>
        <a:off x="5216040" y="2152800"/>
        <a:ext cx="50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12</xdr:col>
      <xdr:colOff>703800</xdr:colOff>
      <xdr:row>41</xdr:row>
      <xdr:rowOff>68400</xdr:rowOff>
    </xdr:to>
    <xdr:graphicFrame>
      <xdr:nvGraphicFramePr>
        <xdr:cNvPr id="2" name="Chart 3"/>
        <xdr:cNvGraphicFramePr/>
      </xdr:nvGraphicFramePr>
      <xdr:xfrm>
        <a:off x="141120" y="5200560"/>
        <a:ext cx="1000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774720</xdr:colOff>
      <xdr:row>57</xdr:row>
      <xdr:rowOff>68760</xdr:rowOff>
    </xdr:to>
    <xdr:graphicFrame>
      <xdr:nvGraphicFramePr>
        <xdr:cNvPr id="3" name="Chart 4"/>
        <xdr:cNvGraphicFramePr/>
      </xdr:nvGraphicFramePr>
      <xdr:xfrm>
        <a:off x="141120" y="8248680"/>
        <a:ext cx="50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12</xdr:col>
      <xdr:colOff>774720</xdr:colOff>
      <xdr:row>57</xdr:row>
      <xdr:rowOff>68760</xdr:rowOff>
    </xdr:to>
    <xdr:graphicFrame>
      <xdr:nvGraphicFramePr>
        <xdr:cNvPr id="4" name="Chart 5"/>
        <xdr:cNvGraphicFramePr/>
      </xdr:nvGraphicFramePr>
      <xdr:xfrm>
        <a:off x="5216040" y="8248680"/>
        <a:ext cx="50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"/>
    <col collapsed="false" customWidth="true" hidden="false" outlineLevel="0" max="14" min="14" style="0" width="2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customFormat="false" ht="15" hidden="false" customHeight="false" outlineLevel="0" collapsed="false">
      <c r="B6" s="4" t="s">
        <v>6</v>
      </c>
      <c r="C6" s="4"/>
      <c r="E6" s="4" t="s">
        <v>7</v>
      </c>
      <c r="F6" s="4"/>
      <c r="H6" s="4" t="s">
        <v>7</v>
      </c>
      <c r="I6" s="4"/>
      <c r="K6" s="4" t="s">
        <v>6</v>
      </c>
      <c r="L6" s="4"/>
    </row>
    <row r="8" customFormat="false" ht="19.5" hidden="false" customHeight="true" outlineLevel="0" collapsed="false">
      <c r="B8" s="5" t="s">
        <v>8</v>
      </c>
      <c r="C8" s="5"/>
      <c r="D8" s="5" t="s">
        <v>9</v>
      </c>
      <c r="E8" s="5"/>
      <c r="F8" s="5" t="s">
        <v>10</v>
      </c>
      <c r="G8" s="5"/>
      <c r="H8" s="5" t="s">
        <v>11</v>
      </c>
      <c r="I8" s="5"/>
      <c r="J8" s="5" t="s">
        <v>12</v>
      </c>
      <c r="K8" s="5"/>
      <c r="L8" s="5" t="s">
        <v>13</v>
      </c>
      <c r="M8" s="5"/>
    </row>
    <row r="9" customFormat="false" ht="15" hidden="false" customHeight="false" outlineLevel="0" collapsed="false">
      <c r="B9" s="6" t="n">
        <f aca="false">SUMIFS(b_receita,b_data,"&gt;="&amp;c_ini,b_data,"&lt;="&amp;c_fim,b_regiao,c_regiao,b_categoria,c_cat,b_canal,c_canal)</f>
        <v>977490</v>
      </c>
      <c r="C9" s="6"/>
      <c r="D9" s="6" t="n">
        <f aca="false">SUMIFS(b_lucro,b_data,"&gt;="&amp;c_ini,b_data,"&lt;="&amp;c_fim,b_regiao,c_regiao,b_categoria,c_cat,b_canal,c_canal)</f>
        <v>309120</v>
      </c>
      <c r="E9" s="6"/>
      <c r="F9" s="7" t="n">
        <f aca="false">IF(k_receita=0,0,k_lucro/k_receita)</f>
        <v>0.316238529294417</v>
      </c>
      <c r="G9" s="7"/>
      <c r="H9" s="8" t="n">
        <f aca="false">SUMIFS(b_qtd,b_data,"&gt;="&amp;c_ini,b_data,"&lt;="&amp;c_fim,b_regiao,c_regiao,b_categoria,c_cat,b_canal,c_canal)</f>
        <v>2162</v>
      </c>
      <c r="I9" s="8"/>
      <c r="J9" s="8" t="n">
        <f aca="false">COUNTIFS(b_data,"&gt;="&amp;c_ini,b_data,"&lt;="&amp;c_fim,b_regiao,c_regiao,b_categoria,c_cat,b_canal,c_canal)</f>
        <v>900</v>
      </c>
      <c r="K9" s="8"/>
      <c r="L9" s="6" t="n">
        <f aca="false">IF(k_pedidos=0,0,k_receita/k_pedidos)</f>
        <v>1086.1</v>
      </c>
      <c r="M9" s="6"/>
    </row>
    <row r="10" customFormat="false" ht="15" hidden="false" customHeight="false" outlineLevel="0" collapsed="false">
      <c r="B10" s="6"/>
      <c r="C10" s="6"/>
      <c r="D10" s="6"/>
      <c r="E10" s="6"/>
      <c r="F10" s="7"/>
      <c r="G10" s="7"/>
      <c r="H10" s="8"/>
      <c r="I10" s="8"/>
      <c r="J10" s="8"/>
      <c r="K10" s="8"/>
      <c r="L10" s="6"/>
      <c r="M10" s="6"/>
    </row>
  </sheetData>
  <mergeCells count="22">
    <mergeCell ref="B1:M3"/>
    <mergeCell ref="B4:M4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D8:E8"/>
    <mergeCell ref="F8:G8"/>
    <mergeCell ref="H8:I8"/>
    <mergeCell ref="J8:K8"/>
    <mergeCell ref="L8:M8"/>
    <mergeCell ref="B9:C10"/>
    <mergeCell ref="D9:E10"/>
    <mergeCell ref="F9:G10"/>
    <mergeCell ref="H9:I10"/>
    <mergeCell ref="J9:K10"/>
    <mergeCell ref="L9:M10"/>
  </mergeCells>
  <dataValidations count="4">
    <dataValidation allowBlank="false" error="Escolha uma opção da lista." errorStyle="stop" errorTitle="Filtro inválido" operator="between" showDropDown="false" showErrorMessage="true" showInputMessage="false" sqref="B6" type="list">
      <formula1>l_anos</formula1>
      <formula2>0</formula2>
    </dataValidation>
    <dataValidation allowBlank="false" error="Escolha uma opção da lista." errorStyle="stop" errorTitle="Filtro inválido" operator="between" showDropDown="false" showErrorMessage="true" showInputMessage="false" sqref="E6" type="list">
      <formula1>l_regioes</formula1>
      <formula2>0</formula2>
    </dataValidation>
    <dataValidation allowBlank="false" error="Escolha uma opção da lista." errorStyle="stop" errorTitle="Filtro inválido" operator="between" showDropDown="false" showErrorMessage="true" showInputMessage="false" sqref="H6" type="list">
      <formula1>l_categorias</formula1>
      <formula2>0</formula2>
    </dataValidation>
    <dataValidation allowBlank="false" error="Escolha uma opção da lista." errorStyle="stop" errorTitle="Filtro inválido" operator="between" showDropDown="false" showErrorMessage="true" showInputMessage="false" sqref="K6" type="list">
      <formula1>l_canais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1" min="10" style="0" width="16"/>
  </cols>
  <sheetData>
    <row r="1" customFormat="false" ht="31.5" hidden="false" customHeight="true" outlineLevel="0" collapsed="false">
      <c r="A1" s="9" t="s">
        <v>14</v>
      </c>
      <c r="B1" s="9" t="s">
        <v>15</v>
      </c>
      <c r="C1" s="9" t="s">
        <v>16</v>
      </c>
      <c r="D1" s="9" t="s">
        <v>4</v>
      </c>
      <c r="E1" s="9" t="s">
        <v>3</v>
      </c>
      <c r="F1" s="9" t="s">
        <v>5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</row>
    <row r="2" customFormat="false" ht="15" hidden="false" customHeight="false" outlineLevel="0" collapsed="false">
      <c r="A2" s="10" t="s">
        <v>22</v>
      </c>
      <c r="B2" s="11" t="n">
        <v>45295</v>
      </c>
      <c r="C2" s="10" t="s">
        <v>23</v>
      </c>
      <c r="D2" s="10" t="s">
        <v>24</v>
      </c>
      <c r="E2" s="10" t="s">
        <v>25</v>
      </c>
      <c r="F2" s="10" t="s">
        <v>26</v>
      </c>
      <c r="G2" s="10" t="n">
        <v>2</v>
      </c>
      <c r="H2" s="12" t="n">
        <v>260</v>
      </c>
      <c r="I2" s="12" t="n">
        <v>180</v>
      </c>
      <c r="J2" s="13" t="n">
        <f aca="false">G2*H2</f>
        <v>520</v>
      </c>
      <c r="K2" s="13" t="n">
        <f aca="false">J2-G2*I2</f>
        <v>160</v>
      </c>
    </row>
    <row r="3" customFormat="false" ht="15" hidden="false" customHeight="false" outlineLevel="0" collapsed="false">
      <c r="A3" s="10" t="s">
        <v>27</v>
      </c>
      <c r="B3" s="11" t="n">
        <v>45296</v>
      </c>
      <c r="C3" s="10" t="s">
        <v>28</v>
      </c>
      <c r="D3" s="10" t="s">
        <v>29</v>
      </c>
      <c r="E3" s="10" t="s">
        <v>30</v>
      </c>
      <c r="F3" s="10" t="s">
        <v>26</v>
      </c>
      <c r="G3" s="10" t="n">
        <v>1</v>
      </c>
      <c r="H3" s="12" t="n">
        <v>450</v>
      </c>
      <c r="I3" s="12" t="n">
        <v>280</v>
      </c>
      <c r="J3" s="13" t="n">
        <f aca="false">G3*H3</f>
        <v>450</v>
      </c>
      <c r="K3" s="13" t="n">
        <f aca="false">J3-G3*I3</f>
        <v>170</v>
      </c>
    </row>
    <row r="4" customFormat="false" ht="15" hidden="false" customHeight="false" outlineLevel="0" collapsed="false">
      <c r="A4" s="10" t="s">
        <v>31</v>
      </c>
      <c r="B4" s="11" t="n">
        <v>45297</v>
      </c>
      <c r="C4" s="10" t="s">
        <v>32</v>
      </c>
      <c r="D4" s="10" t="s">
        <v>29</v>
      </c>
      <c r="E4" s="10" t="s">
        <v>33</v>
      </c>
      <c r="F4" s="10" t="s">
        <v>34</v>
      </c>
      <c r="G4" s="10" t="n">
        <v>2</v>
      </c>
      <c r="H4" s="12" t="n">
        <v>520</v>
      </c>
      <c r="I4" s="12" t="n">
        <v>300</v>
      </c>
      <c r="J4" s="13" t="n">
        <f aca="false">G4*H4</f>
        <v>1040</v>
      </c>
      <c r="K4" s="13" t="n">
        <f aca="false">J4-G4*I4</f>
        <v>440</v>
      </c>
    </row>
    <row r="5" customFormat="false" ht="15" hidden="false" customHeight="false" outlineLevel="0" collapsed="false">
      <c r="A5" s="10" t="s">
        <v>35</v>
      </c>
      <c r="B5" s="11" t="n">
        <v>45299</v>
      </c>
      <c r="C5" s="10" t="s">
        <v>36</v>
      </c>
      <c r="D5" s="10" t="s">
        <v>29</v>
      </c>
      <c r="E5" s="10" t="s">
        <v>25</v>
      </c>
      <c r="F5" s="10" t="s">
        <v>34</v>
      </c>
      <c r="G5" s="10" t="n">
        <v>3</v>
      </c>
      <c r="H5" s="12" t="n">
        <v>380</v>
      </c>
      <c r="I5" s="12" t="n">
        <v>260</v>
      </c>
      <c r="J5" s="13" t="n">
        <f aca="false">G5*H5</f>
        <v>1140</v>
      </c>
      <c r="K5" s="13" t="n">
        <f aca="false">J5-G5*I5</f>
        <v>360</v>
      </c>
    </row>
    <row r="6" customFormat="false" ht="15" hidden="false" customHeight="false" outlineLevel="0" collapsed="false">
      <c r="A6" s="10" t="s">
        <v>37</v>
      </c>
      <c r="B6" s="11" t="n">
        <v>45299</v>
      </c>
      <c r="C6" s="10" t="s">
        <v>36</v>
      </c>
      <c r="D6" s="10" t="s">
        <v>29</v>
      </c>
      <c r="E6" s="10" t="s">
        <v>38</v>
      </c>
      <c r="F6" s="10" t="s">
        <v>34</v>
      </c>
      <c r="G6" s="10" t="n">
        <v>1</v>
      </c>
      <c r="H6" s="12" t="n">
        <v>380</v>
      </c>
      <c r="I6" s="12" t="n">
        <v>260</v>
      </c>
      <c r="J6" s="13" t="n">
        <f aca="false">G6*H6</f>
        <v>380</v>
      </c>
      <c r="K6" s="13" t="n">
        <f aca="false">J6-G6*I6</f>
        <v>120</v>
      </c>
    </row>
    <row r="7" customFormat="false" ht="15" hidden="false" customHeight="false" outlineLevel="0" collapsed="false">
      <c r="A7" s="10" t="s">
        <v>39</v>
      </c>
      <c r="B7" s="11" t="n">
        <v>45303</v>
      </c>
      <c r="C7" s="10" t="s">
        <v>32</v>
      </c>
      <c r="D7" s="10" t="s">
        <v>29</v>
      </c>
      <c r="E7" s="10" t="s">
        <v>38</v>
      </c>
      <c r="F7" s="10" t="s">
        <v>34</v>
      </c>
      <c r="G7" s="10" t="n">
        <v>1</v>
      </c>
      <c r="H7" s="12" t="n">
        <v>520</v>
      </c>
      <c r="I7" s="12" t="n">
        <v>300</v>
      </c>
      <c r="J7" s="13" t="n">
        <f aca="false">G7*H7</f>
        <v>520</v>
      </c>
      <c r="K7" s="13" t="n">
        <f aca="false">J7-G7*I7</f>
        <v>220</v>
      </c>
    </row>
    <row r="8" customFormat="false" ht="15" hidden="false" customHeight="false" outlineLevel="0" collapsed="false">
      <c r="A8" s="10" t="s">
        <v>40</v>
      </c>
      <c r="B8" s="11" t="n">
        <v>45303</v>
      </c>
      <c r="C8" s="10" t="s">
        <v>41</v>
      </c>
      <c r="D8" s="10" t="s">
        <v>42</v>
      </c>
      <c r="E8" s="10" t="s">
        <v>30</v>
      </c>
      <c r="F8" s="10" t="s">
        <v>26</v>
      </c>
      <c r="G8" s="10" t="n">
        <v>3</v>
      </c>
      <c r="H8" s="12" t="n">
        <v>45</v>
      </c>
      <c r="I8" s="12" t="n">
        <v>20</v>
      </c>
      <c r="J8" s="13" t="n">
        <f aca="false">G8*H8</f>
        <v>135</v>
      </c>
      <c r="K8" s="13" t="n">
        <f aca="false">J8-G8*I8</f>
        <v>75</v>
      </c>
    </row>
    <row r="9" customFormat="false" ht="15" hidden="false" customHeight="false" outlineLevel="0" collapsed="false">
      <c r="A9" s="10" t="s">
        <v>43</v>
      </c>
      <c r="B9" s="11" t="n">
        <v>45304</v>
      </c>
      <c r="C9" s="10" t="s">
        <v>32</v>
      </c>
      <c r="D9" s="10" t="s">
        <v>29</v>
      </c>
      <c r="E9" s="10" t="s">
        <v>38</v>
      </c>
      <c r="F9" s="10" t="s">
        <v>26</v>
      </c>
      <c r="G9" s="10" t="n">
        <v>1</v>
      </c>
      <c r="H9" s="12" t="n">
        <v>520</v>
      </c>
      <c r="I9" s="12" t="n">
        <v>300</v>
      </c>
      <c r="J9" s="13" t="n">
        <f aca="false">G9*H9</f>
        <v>520</v>
      </c>
      <c r="K9" s="13" t="n">
        <f aca="false">J9-G9*I9</f>
        <v>220</v>
      </c>
    </row>
    <row r="10" customFormat="false" ht="15" hidden="false" customHeight="false" outlineLevel="0" collapsed="false">
      <c r="A10" s="10" t="s">
        <v>44</v>
      </c>
      <c r="B10" s="11" t="n">
        <v>45304</v>
      </c>
      <c r="C10" s="10" t="s">
        <v>23</v>
      </c>
      <c r="D10" s="10" t="s">
        <v>24</v>
      </c>
      <c r="E10" s="10" t="s">
        <v>30</v>
      </c>
      <c r="F10" s="10" t="s">
        <v>26</v>
      </c>
      <c r="G10" s="10" t="n">
        <v>2</v>
      </c>
      <c r="H10" s="12" t="n">
        <v>260</v>
      </c>
      <c r="I10" s="12" t="n">
        <v>180</v>
      </c>
      <c r="J10" s="13" t="n">
        <f aca="false">G10*H10</f>
        <v>520</v>
      </c>
      <c r="K10" s="13" t="n">
        <f aca="false">J10-G10*I10</f>
        <v>160</v>
      </c>
    </row>
    <row r="11" customFormat="false" ht="15" hidden="false" customHeight="false" outlineLevel="0" collapsed="false">
      <c r="A11" s="10" t="s">
        <v>45</v>
      </c>
      <c r="B11" s="11" t="n">
        <v>45304</v>
      </c>
      <c r="C11" s="10" t="s">
        <v>32</v>
      </c>
      <c r="D11" s="10" t="s">
        <v>29</v>
      </c>
      <c r="E11" s="10" t="s">
        <v>38</v>
      </c>
      <c r="F11" s="10" t="s">
        <v>26</v>
      </c>
      <c r="G11" s="10" t="n">
        <v>4</v>
      </c>
      <c r="H11" s="12" t="n">
        <v>520</v>
      </c>
      <c r="I11" s="12" t="n">
        <v>300</v>
      </c>
      <c r="J11" s="13" t="n">
        <f aca="false">G11*H11</f>
        <v>2080</v>
      </c>
      <c r="K11" s="13" t="n">
        <f aca="false">J11-G11*I11</f>
        <v>880</v>
      </c>
    </row>
    <row r="12" customFormat="false" ht="15" hidden="false" customHeight="false" outlineLevel="0" collapsed="false">
      <c r="A12" s="10" t="s">
        <v>46</v>
      </c>
      <c r="B12" s="11" t="n">
        <v>45306</v>
      </c>
      <c r="C12" s="10" t="s">
        <v>28</v>
      </c>
      <c r="D12" s="10" t="s">
        <v>29</v>
      </c>
      <c r="E12" s="10" t="s">
        <v>30</v>
      </c>
      <c r="F12" s="10" t="s">
        <v>26</v>
      </c>
      <c r="G12" s="10" t="n">
        <v>3</v>
      </c>
      <c r="H12" s="12" t="n">
        <v>450</v>
      </c>
      <c r="I12" s="12" t="n">
        <v>280</v>
      </c>
      <c r="J12" s="13" t="n">
        <f aca="false">G12*H12</f>
        <v>1350</v>
      </c>
      <c r="K12" s="13" t="n">
        <f aca="false">J12-G12*I12</f>
        <v>510</v>
      </c>
    </row>
    <row r="13" customFormat="false" ht="15" hidden="false" customHeight="false" outlineLevel="0" collapsed="false">
      <c r="A13" s="10" t="s">
        <v>47</v>
      </c>
      <c r="B13" s="11" t="n">
        <v>45311</v>
      </c>
      <c r="C13" s="10" t="s">
        <v>28</v>
      </c>
      <c r="D13" s="10" t="s">
        <v>29</v>
      </c>
      <c r="E13" s="10" t="s">
        <v>33</v>
      </c>
      <c r="F13" s="10" t="s">
        <v>34</v>
      </c>
      <c r="G13" s="10" t="n">
        <v>4</v>
      </c>
      <c r="H13" s="12" t="n">
        <v>450</v>
      </c>
      <c r="I13" s="12" t="n">
        <v>280</v>
      </c>
      <c r="J13" s="13" t="n">
        <f aca="false">G13*H13</f>
        <v>1800</v>
      </c>
      <c r="K13" s="13" t="n">
        <f aca="false">J13-G13*I13</f>
        <v>680</v>
      </c>
    </row>
    <row r="14" customFormat="false" ht="15" hidden="false" customHeight="false" outlineLevel="0" collapsed="false">
      <c r="A14" s="10" t="s">
        <v>48</v>
      </c>
      <c r="B14" s="11" t="n">
        <v>45312</v>
      </c>
      <c r="C14" s="10" t="s">
        <v>49</v>
      </c>
      <c r="D14" s="10" t="s">
        <v>24</v>
      </c>
      <c r="E14" s="10" t="s">
        <v>30</v>
      </c>
      <c r="F14" s="10" t="s">
        <v>26</v>
      </c>
      <c r="G14" s="10" t="n">
        <v>2</v>
      </c>
      <c r="H14" s="12" t="n">
        <v>250</v>
      </c>
      <c r="I14" s="12" t="n">
        <v>170</v>
      </c>
      <c r="J14" s="13" t="n">
        <f aca="false">G14*H14</f>
        <v>500</v>
      </c>
      <c r="K14" s="13" t="n">
        <f aca="false">J14-G14*I14</f>
        <v>160</v>
      </c>
    </row>
    <row r="15" customFormat="false" ht="15" hidden="false" customHeight="false" outlineLevel="0" collapsed="false">
      <c r="A15" s="10" t="s">
        <v>50</v>
      </c>
      <c r="B15" s="11" t="n">
        <v>45313</v>
      </c>
      <c r="C15" s="10" t="s">
        <v>51</v>
      </c>
      <c r="D15" s="10" t="s">
        <v>42</v>
      </c>
      <c r="E15" s="10" t="s">
        <v>38</v>
      </c>
      <c r="F15" s="10" t="s">
        <v>34</v>
      </c>
      <c r="G15" s="10" t="n">
        <v>1</v>
      </c>
      <c r="H15" s="12" t="n">
        <v>130</v>
      </c>
      <c r="I15" s="12" t="n">
        <v>60</v>
      </c>
      <c r="J15" s="13" t="n">
        <f aca="false">G15*H15</f>
        <v>130</v>
      </c>
      <c r="K15" s="13" t="n">
        <f aca="false">J15-G15*I15</f>
        <v>70</v>
      </c>
    </row>
    <row r="16" customFormat="false" ht="15" hidden="false" customHeight="false" outlineLevel="0" collapsed="false">
      <c r="A16" s="10" t="s">
        <v>52</v>
      </c>
      <c r="B16" s="11" t="n">
        <v>45318</v>
      </c>
      <c r="C16" s="10" t="s">
        <v>53</v>
      </c>
      <c r="D16" s="10" t="s">
        <v>24</v>
      </c>
      <c r="E16" s="10" t="s">
        <v>38</v>
      </c>
      <c r="F16" s="10" t="s">
        <v>34</v>
      </c>
      <c r="G16" s="10" t="n">
        <v>3</v>
      </c>
      <c r="H16" s="12" t="n">
        <v>300</v>
      </c>
      <c r="I16" s="12" t="n">
        <v>200</v>
      </c>
      <c r="J16" s="13" t="n">
        <f aca="false">G16*H16</f>
        <v>900</v>
      </c>
      <c r="K16" s="13" t="n">
        <f aca="false">J16-G16*I16</f>
        <v>300</v>
      </c>
    </row>
    <row r="17" customFormat="false" ht="15" hidden="false" customHeight="false" outlineLevel="0" collapsed="false">
      <c r="A17" s="10" t="s">
        <v>54</v>
      </c>
      <c r="B17" s="11" t="n">
        <v>45318</v>
      </c>
      <c r="C17" s="10" t="s">
        <v>55</v>
      </c>
      <c r="D17" s="10" t="s">
        <v>24</v>
      </c>
      <c r="E17" s="10" t="s">
        <v>25</v>
      </c>
      <c r="F17" s="10" t="s">
        <v>34</v>
      </c>
      <c r="G17" s="10" t="n">
        <v>1</v>
      </c>
      <c r="H17" s="12" t="n">
        <v>280</v>
      </c>
      <c r="I17" s="12" t="n">
        <v>190</v>
      </c>
      <c r="J17" s="13" t="n">
        <f aca="false">G17*H17</f>
        <v>280</v>
      </c>
      <c r="K17" s="13" t="n">
        <f aca="false">J17-G17*I17</f>
        <v>90</v>
      </c>
    </row>
    <row r="18" customFormat="false" ht="15" hidden="false" customHeight="false" outlineLevel="0" collapsed="false">
      <c r="A18" s="10" t="s">
        <v>56</v>
      </c>
      <c r="B18" s="11" t="n">
        <v>45319</v>
      </c>
      <c r="C18" s="10" t="s">
        <v>55</v>
      </c>
      <c r="D18" s="10" t="s">
        <v>24</v>
      </c>
      <c r="E18" s="10" t="s">
        <v>57</v>
      </c>
      <c r="F18" s="10" t="s">
        <v>26</v>
      </c>
      <c r="G18" s="10" t="n">
        <v>2</v>
      </c>
      <c r="H18" s="12" t="n">
        <v>280</v>
      </c>
      <c r="I18" s="12" t="n">
        <v>190</v>
      </c>
      <c r="J18" s="13" t="n">
        <f aca="false">G18*H18</f>
        <v>560</v>
      </c>
      <c r="K18" s="13" t="n">
        <f aca="false">J18-G18*I18</f>
        <v>180</v>
      </c>
    </row>
    <row r="19" customFormat="false" ht="15" hidden="false" customHeight="false" outlineLevel="0" collapsed="false">
      <c r="A19" s="10" t="s">
        <v>58</v>
      </c>
      <c r="B19" s="11" t="n">
        <v>45323</v>
      </c>
      <c r="C19" s="10" t="s">
        <v>23</v>
      </c>
      <c r="D19" s="10" t="s">
        <v>24</v>
      </c>
      <c r="E19" s="10" t="s">
        <v>38</v>
      </c>
      <c r="F19" s="10" t="s">
        <v>26</v>
      </c>
      <c r="G19" s="10" t="n">
        <v>2</v>
      </c>
      <c r="H19" s="12" t="n">
        <v>260</v>
      </c>
      <c r="I19" s="12" t="n">
        <v>180</v>
      </c>
      <c r="J19" s="13" t="n">
        <f aca="false">G19*H19</f>
        <v>520</v>
      </c>
      <c r="K19" s="13" t="n">
        <f aca="false">J19-G19*I19</f>
        <v>160</v>
      </c>
    </row>
    <row r="20" customFormat="false" ht="15" hidden="false" customHeight="false" outlineLevel="0" collapsed="false">
      <c r="A20" s="10" t="s">
        <v>59</v>
      </c>
      <c r="B20" s="11" t="n">
        <v>45323</v>
      </c>
      <c r="C20" s="10" t="s">
        <v>41</v>
      </c>
      <c r="D20" s="10" t="s">
        <v>42</v>
      </c>
      <c r="E20" s="10" t="s">
        <v>30</v>
      </c>
      <c r="F20" s="10" t="s">
        <v>34</v>
      </c>
      <c r="G20" s="10" t="n">
        <v>2</v>
      </c>
      <c r="H20" s="12" t="n">
        <v>45</v>
      </c>
      <c r="I20" s="12" t="n">
        <v>20</v>
      </c>
      <c r="J20" s="13" t="n">
        <f aca="false">G20*H20</f>
        <v>90</v>
      </c>
      <c r="K20" s="13" t="n">
        <f aca="false">J20-G20*I20</f>
        <v>50</v>
      </c>
    </row>
    <row r="21" customFormat="false" ht="15" hidden="false" customHeight="false" outlineLevel="0" collapsed="false">
      <c r="A21" s="10" t="s">
        <v>60</v>
      </c>
      <c r="B21" s="11" t="n">
        <v>45324</v>
      </c>
      <c r="C21" s="10" t="s">
        <v>28</v>
      </c>
      <c r="D21" s="10" t="s">
        <v>29</v>
      </c>
      <c r="E21" s="10" t="s">
        <v>25</v>
      </c>
      <c r="F21" s="10" t="s">
        <v>34</v>
      </c>
      <c r="G21" s="10" t="n">
        <v>4</v>
      </c>
      <c r="H21" s="12" t="n">
        <v>450</v>
      </c>
      <c r="I21" s="12" t="n">
        <v>280</v>
      </c>
      <c r="J21" s="13" t="n">
        <f aca="false">G21*H21</f>
        <v>1800</v>
      </c>
      <c r="K21" s="13" t="n">
        <f aca="false">J21-G21*I21</f>
        <v>680</v>
      </c>
    </row>
    <row r="22" customFormat="false" ht="15" hidden="false" customHeight="false" outlineLevel="0" collapsed="false">
      <c r="A22" s="10" t="s">
        <v>61</v>
      </c>
      <c r="B22" s="11" t="n">
        <v>45327</v>
      </c>
      <c r="C22" s="10" t="s">
        <v>53</v>
      </c>
      <c r="D22" s="10" t="s">
        <v>24</v>
      </c>
      <c r="E22" s="10" t="s">
        <v>30</v>
      </c>
      <c r="F22" s="10" t="s">
        <v>26</v>
      </c>
      <c r="G22" s="10" t="n">
        <v>2</v>
      </c>
      <c r="H22" s="12" t="n">
        <v>300</v>
      </c>
      <c r="I22" s="12" t="n">
        <v>200</v>
      </c>
      <c r="J22" s="13" t="n">
        <f aca="false">G22*H22</f>
        <v>600</v>
      </c>
      <c r="K22" s="13" t="n">
        <f aca="false">J22-G22*I22</f>
        <v>200</v>
      </c>
    </row>
    <row r="23" customFormat="false" ht="15" hidden="false" customHeight="false" outlineLevel="0" collapsed="false">
      <c r="A23" s="10" t="s">
        <v>62</v>
      </c>
      <c r="B23" s="11" t="n">
        <v>45328</v>
      </c>
      <c r="C23" s="10" t="s">
        <v>41</v>
      </c>
      <c r="D23" s="10" t="s">
        <v>42</v>
      </c>
      <c r="E23" s="10" t="s">
        <v>33</v>
      </c>
      <c r="F23" s="10" t="s">
        <v>26</v>
      </c>
      <c r="G23" s="10" t="n">
        <v>4</v>
      </c>
      <c r="H23" s="12" t="n">
        <v>45</v>
      </c>
      <c r="I23" s="12" t="n">
        <v>20</v>
      </c>
      <c r="J23" s="13" t="n">
        <f aca="false">G23*H23</f>
        <v>180</v>
      </c>
      <c r="K23" s="13" t="n">
        <f aca="false">J23-G23*I23</f>
        <v>100</v>
      </c>
    </row>
    <row r="24" customFormat="false" ht="15" hidden="false" customHeight="false" outlineLevel="0" collapsed="false">
      <c r="A24" s="10" t="s">
        <v>63</v>
      </c>
      <c r="B24" s="11" t="n">
        <v>45328</v>
      </c>
      <c r="C24" s="10" t="s">
        <v>41</v>
      </c>
      <c r="D24" s="10" t="s">
        <v>42</v>
      </c>
      <c r="E24" s="10" t="s">
        <v>38</v>
      </c>
      <c r="F24" s="10" t="s">
        <v>34</v>
      </c>
      <c r="G24" s="10" t="n">
        <v>2</v>
      </c>
      <c r="H24" s="12" t="n">
        <v>45</v>
      </c>
      <c r="I24" s="12" t="n">
        <v>20</v>
      </c>
      <c r="J24" s="13" t="n">
        <f aca="false">G24*H24</f>
        <v>90</v>
      </c>
      <c r="K24" s="13" t="n">
        <f aca="false">J24-G24*I24</f>
        <v>50</v>
      </c>
    </row>
    <row r="25" customFormat="false" ht="15" hidden="false" customHeight="false" outlineLevel="0" collapsed="false">
      <c r="A25" s="10" t="s">
        <v>64</v>
      </c>
      <c r="B25" s="11" t="n">
        <v>45329</v>
      </c>
      <c r="C25" s="10" t="s">
        <v>41</v>
      </c>
      <c r="D25" s="10" t="s">
        <v>42</v>
      </c>
      <c r="E25" s="10" t="s">
        <v>33</v>
      </c>
      <c r="F25" s="10" t="s">
        <v>26</v>
      </c>
      <c r="G25" s="10" t="n">
        <v>1</v>
      </c>
      <c r="H25" s="12" t="n">
        <v>45</v>
      </c>
      <c r="I25" s="12" t="n">
        <v>20</v>
      </c>
      <c r="J25" s="13" t="n">
        <f aca="false">G25*H25</f>
        <v>45</v>
      </c>
      <c r="K25" s="13" t="n">
        <f aca="false">J25-G25*I25</f>
        <v>25</v>
      </c>
    </row>
    <row r="26" customFormat="false" ht="15" hidden="false" customHeight="false" outlineLevel="0" collapsed="false">
      <c r="A26" s="10" t="s">
        <v>65</v>
      </c>
      <c r="B26" s="11" t="n">
        <v>45329</v>
      </c>
      <c r="C26" s="10" t="s">
        <v>41</v>
      </c>
      <c r="D26" s="10" t="s">
        <v>42</v>
      </c>
      <c r="E26" s="10" t="s">
        <v>25</v>
      </c>
      <c r="F26" s="10" t="s">
        <v>26</v>
      </c>
      <c r="G26" s="10" t="n">
        <v>3</v>
      </c>
      <c r="H26" s="12" t="n">
        <v>45</v>
      </c>
      <c r="I26" s="12" t="n">
        <v>20</v>
      </c>
      <c r="J26" s="13" t="n">
        <f aca="false">G26*H26</f>
        <v>135</v>
      </c>
      <c r="K26" s="13" t="n">
        <f aca="false">J26-G26*I26</f>
        <v>75</v>
      </c>
    </row>
    <row r="27" customFormat="false" ht="15" hidden="false" customHeight="false" outlineLevel="0" collapsed="false">
      <c r="A27" s="10" t="s">
        <v>66</v>
      </c>
      <c r="B27" s="11" t="n">
        <v>45329</v>
      </c>
      <c r="C27" s="10" t="s">
        <v>67</v>
      </c>
      <c r="D27" s="10" t="s">
        <v>68</v>
      </c>
      <c r="E27" s="10" t="s">
        <v>57</v>
      </c>
      <c r="F27" s="10" t="s">
        <v>26</v>
      </c>
      <c r="G27" s="10" t="n">
        <v>1</v>
      </c>
      <c r="H27" s="12" t="n">
        <v>2600</v>
      </c>
      <c r="I27" s="12" t="n">
        <v>2100</v>
      </c>
      <c r="J27" s="13" t="n">
        <f aca="false">G27*H27</f>
        <v>2600</v>
      </c>
      <c r="K27" s="13" t="n">
        <f aca="false">J27-G27*I27</f>
        <v>500</v>
      </c>
    </row>
    <row r="28" customFormat="false" ht="15" hidden="false" customHeight="false" outlineLevel="0" collapsed="false">
      <c r="A28" s="10" t="s">
        <v>69</v>
      </c>
      <c r="B28" s="11" t="n">
        <v>45330</v>
      </c>
      <c r="C28" s="10" t="s">
        <v>67</v>
      </c>
      <c r="D28" s="10" t="s">
        <v>68</v>
      </c>
      <c r="E28" s="10" t="s">
        <v>33</v>
      </c>
      <c r="F28" s="10" t="s">
        <v>26</v>
      </c>
      <c r="G28" s="10" t="n">
        <v>2</v>
      </c>
      <c r="H28" s="12" t="n">
        <v>2600</v>
      </c>
      <c r="I28" s="12" t="n">
        <v>2100</v>
      </c>
      <c r="J28" s="13" t="n">
        <f aca="false">G28*H28</f>
        <v>5200</v>
      </c>
      <c r="K28" s="13" t="n">
        <f aca="false">J28-G28*I28</f>
        <v>1000</v>
      </c>
    </row>
    <row r="29" customFormat="false" ht="15" hidden="false" customHeight="false" outlineLevel="0" collapsed="false">
      <c r="A29" s="10" t="s">
        <v>70</v>
      </c>
      <c r="B29" s="11" t="n">
        <v>45336</v>
      </c>
      <c r="C29" s="10" t="s">
        <v>41</v>
      </c>
      <c r="D29" s="10" t="s">
        <v>42</v>
      </c>
      <c r="E29" s="10" t="s">
        <v>30</v>
      </c>
      <c r="F29" s="10" t="s">
        <v>26</v>
      </c>
      <c r="G29" s="10" t="n">
        <v>1</v>
      </c>
      <c r="H29" s="12" t="n">
        <v>45</v>
      </c>
      <c r="I29" s="12" t="n">
        <v>20</v>
      </c>
      <c r="J29" s="13" t="n">
        <f aca="false">G29*H29</f>
        <v>45</v>
      </c>
      <c r="K29" s="13" t="n">
        <f aca="false">J29-G29*I29</f>
        <v>25</v>
      </c>
    </row>
    <row r="30" customFormat="false" ht="15" hidden="false" customHeight="false" outlineLevel="0" collapsed="false">
      <c r="A30" s="10" t="s">
        <v>71</v>
      </c>
      <c r="B30" s="11" t="n">
        <v>45338</v>
      </c>
      <c r="C30" s="10" t="s">
        <v>28</v>
      </c>
      <c r="D30" s="10" t="s">
        <v>29</v>
      </c>
      <c r="E30" s="10" t="s">
        <v>38</v>
      </c>
      <c r="F30" s="10" t="s">
        <v>26</v>
      </c>
      <c r="G30" s="10" t="n">
        <v>3</v>
      </c>
      <c r="H30" s="12" t="n">
        <v>450</v>
      </c>
      <c r="I30" s="12" t="n">
        <v>280</v>
      </c>
      <c r="J30" s="13" t="n">
        <f aca="false">G30*H30</f>
        <v>1350</v>
      </c>
      <c r="K30" s="13" t="n">
        <f aca="false">J30-G30*I30</f>
        <v>510</v>
      </c>
    </row>
    <row r="31" customFormat="false" ht="15" hidden="false" customHeight="false" outlineLevel="0" collapsed="false">
      <c r="A31" s="10" t="s">
        <v>72</v>
      </c>
      <c r="B31" s="11" t="n">
        <v>45338</v>
      </c>
      <c r="C31" s="10" t="s">
        <v>41</v>
      </c>
      <c r="D31" s="10" t="s">
        <v>42</v>
      </c>
      <c r="E31" s="10" t="s">
        <v>30</v>
      </c>
      <c r="F31" s="10" t="s">
        <v>26</v>
      </c>
      <c r="G31" s="10" t="n">
        <v>2</v>
      </c>
      <c r="H31" s="12" t="n">
        <v>45</v>
      </c>
      <c r="I31" s="12" t="n">
        <v>20</v>
      </c>
      <c r="J31" s="13" t="n">
        <f aca="false">G31*H31</f>
        <v>90</v>
      </c>
      <c r="K31" s="13" t="n">
        <f aca="false">J31-G31*I31</f>
        <v>50</v>
      </c>
    </row>
    <row r="32" customFormat="false" ht="15" hidden="false" customHeight="false" outlineLevel="0" collapsed="false">
      <c r="A32" s="10" t="s">
        <v>73</v>
      </c>
      <c r="B32" s="11" t="n">
        <v>45340</v>
      </c>
      <c r="C32" s="10" t="s">
        <v>28</v>
      </c>
      <c r="D32" s="10" t="s">
        <v>29</v>
      </c>
      <c r="E32" s="10" t="s">
        <v>25</v>
      </c>
      <c r="F32" s="10" t="s">
        <v>34</v>
      </c>
      <c r="G32" s="10" t="n">
        <v>1</v>
      </c>
      <c r="H32" s="12" t="n">
        <v>450</v>
      </c>
      <c r="I32" s="12" t="n">
        <v>280</v>
      </c>
      <c r="J32" s="13" t="n">
        <f aca="false">G32*H32</f>
        <v>450</v>
      </c>
      <c r="K32" s="13" t="n">
        <f aca="false">J32-G32*I32</f>
        <v>170</v>
      </c>
    </row>
    <row r="33" customFormat="false" ht="15" hidden="false" customHeight="false" outlineLevel="0" collapsed="false">
      <c r="A33" s="10" t="s">
        <v>74</v>
      </c>
      <c r="B33" s="11" t="n">
        <v>45340</v>
      </c>
      <c r="C33" s="10" t="s">
        <v>55</v>
      </c>
      <c r="D33" s="10" t="s">
        <v>24</v>
      </c>
      <c r="E33" s="10" t="s">
        <v>38</v>
      </c>
      <c r="F33" s="10" t="s">
        <v>34</v>
      </c>
      <c r="G33" s="10" t="n">
        <v>4</v>
      </c>
      <c r="H33" s="12" t="n">
        <v>280</v>
      </c>
      <c r="I33" s="12" t="n">
        <v>190</v>
      </c>
      <c r="J33" s="13" t="n">
        <f aca="false">G33*H33</f>
        <v>1120</v>
      </c>
      <c r="K33" s="13" t="n">
        <f aca="false">J33-G33*I33</f>
        <v>360</v>
      </c>
    </row>
    <row r="34" customFormat="false" ht="15" hidden="false" customHeight="false" outlineLevel="0" collapsed="false">
      <c r="A34" s="10" t="s">
        <v>75</v>
      </c>
      <c r="B34" s="11" t="n">
        <v>45340</v>
      </c>
      <c r="C34" s="10" t="s">
        <v>23</v>
      </c>
      <c r="D34" s="10" t="s">
        <v>24</v>
      </c>
      <c r="E34" s="10" t="s">
        <v>33</v>
      </c>
      <c r="F34" s="10" t="s">
        <v>26</v>
      </c>
      <c r="G34" s="10" t="n">
        <v>4</v>
      </c>
      <c r="H34" s="12" t="n">
        <v>260</v>
      </c>
      <c r="I34" s="12" t="n">
        <v>180</v>
      </c>
      <c r="J34" s="13" t="n">
        <f aca="false">G34*H34</f>
        <v>1040</v>
      </c>
      <c r="K34" s="13" t="n">
        <f aca="false">J34-G34*I34</f>
        <v>320</v>
      </c>
    </row>
    <row r="35" customFormat="false" ht="15" hidden="false" customHeight="false" outlineLevel="0" collapsed="false">
      <c r="A35" s="10" t="s">
        <v>76</v>
      </c>
      <c r="B35" s="11" t="n">
        <v>45341</v>
      </c>
      <c r="C35" s="10" t="s">
        <v>36</v>
      </c>
      <c r="D35" s="10" t="s">
        <v>29</v>
      </c>
      <c r="E35" s="10" t="s">
        <v>30</v>
      </c>
      <c r="F35" s="10" t="s">
        <v>26</v>
      </c>
      <c r="G35" s="10" t="n">
        <v>4</v>
      </c>
      <c r="H35" s="12" t="n">
        <v>380</v>
      </c>
      <c r="I35" s="12" t="n">
        <v>260</v>
      </c>
      <c r="J35" s="13" t="n">
        <f aca="false">G35*H35</f>
        <v>1520</v>
      </c>
      <c r="K35" s="13" t="n">
        <f aca="false">J35-G35*I35</f>
        <v>480</v>
      </c>
    </row>
    <row r="36" customFormat="false" ht="15" hidden="false" customHeight="false" outlineLevel="0" collapsed="false">
      <c r="A36" s="10" t="s">
        <v>77</v>
      </c>
      <c r="B36" s="11" t="n">
        <v>45343</v>
      </c>
      <c r="C36" s="10" t="s">
        <v>41</v>
      </c>
      <c r="D36" s="10" t="s">
        <v>42</v>
      </c>
      <c r="E36" s="10" t="s">
        <v>57</v>
      </c>
      <c r="F36" s="10" t="s">
        <v>26</v>
      </c>
      <c r="G36" s="10" t="n">
        <v>1</v>
      </c>
      <c r="H36" s="12" t="n">
        <v>45</v>
      </c>
      <c r="I36" s="12" t="n">
        <v>20</v>
      </c>
      <c r="J36" s="13" t="n">
        <f aca="false">G36*H36</f>
        <v>45</v>
      </c>
      <c r="K36" s="13" t="n">
        <f aca="false">J36-G36*I36</f>
        <v>25</v>
      </c>
    </row>
    <row r="37" customFormat="false" ht="15" hidden="false" customHeight="false" outlineLevel="0" collapsed="false">
      <c r="A37" s="10" t="s">
        <v>78</v>
      </c>
      <c r="B37" s="11" t="n">
        <v>45344</v>
      </c>
      <c r="C37" s="10" t="s">
        <v>41</v>
      </c>
      <c r="D37" s="10" t="s">
        <v>42</v>
      </c>
      <c r="E37" s="10" t="s">
        <v>33</v>
      </c>
      <c r="F37" s="10" t="s">
        <v>34</v>
      </c>
      <c r="G37" s="10" t="n">
        <v>3</v>
      </c>
      <c r="H37" s="12" t="n">
        <v>45</v>
      </c>
      <c r="I37" s="12" t="n">
        <v>20</v>
      </c>
      <c r="J37" s="13" t="n">
        <f aca="false">G37*H37</f>
        <v>135</v>
      </c>
      <c r="K37" s="13" t="n">
        <f aca="false">J37-G37*I37</f>
        <v>75</v>
      </c>
    </row>
    <row r="38" customFormat="false" ht="15" hidden="false" customHeight="false" outlineLevel="0" collapsed="false">
      <c r="A38" s="10" t="s">
        <v>79</v>
      </c>
      <c r="B38" s="11" t="n">
        <v>45347</v>
      </c>
      <c r="C38" s="10" t="s">
        <v>36</v>
      </c>
      <c r="D38" s="10" t="s">
        <v>29</v>
      </c>
      <c r="E38" s="10" t="s">
        <v>57</v>
      </c>
      <c r="F38" s="10" t="s">
        <v>26</v>
      </c>
      <c r="G38" s="10" t="n">
        <v>3</v>
      </c>
      <c r="H38" s="12" t="n">
        <v>380</v>
      </c>
      <c r="I38" s="12" t="n">
        <v>260</v>
      </c>
      <c r="J38" s="13" t="n">
        <f aca="false">G38*H38</f>
        <v>1140</v>
      </c>
      <c r="K38" s="13" t="n">
        <f aca="false">J38-G38*I38</f>
        <v>360</v>
      </c>
    </row>
    <row r="39" customFormat="false" ht="15" hidden="false" customHeight="false" outlineLevel="0" collapsed="false">
      <c r="A39" s="10" t="s">
        <v>80</v>
      </c>
      <c r="B39" s="11" t="n">
        <v>45350</v>
      </c>
      <c r="C39" s="10" t="s">
        <v>28</v>
      </c>
      <c r="D39" s="10" t="s">
        <v>29</v>
      </c>
      <c r="E39" s="10" t="s">
        <v>38</v>
      </c>
      <c r="F39" s="10" t="s">
        <v>34</v>
      </c>
      <c r="G39" s="10" t="n">
        <v>1</v>
      </c>
      <c r="H39" s="12" t="n">
        <v>450</v>
      </c>
      <c r="I39" s="12" t="n">
        <v>280</v>
      </c>
      <c r="J39" s="13" t="n">
        <f aca="false">G39*H39</f>
        <v>450</v>
      </c>
      <c r="K39" s="13" t="n">
        <f aca="false">J39-G39*I39</f>
        <v>170</v>
      </c>
    </row>
    <row r="40" customFormat="false" ht="15" hidden="false" customHeight="false" outlineLevel="0" collapsed="false">
      <c r="A40" s="10" t="s">
        <v>81</v>
      </c>
      <c r="B40" s="11" t="n">
        <v>45352</v>
      </c>
      <c r="C40" s="10" t="s">
        <v>23</v>
      </c>
      <c r="D40" s="10" t="s">
        <v>24</v>
      </c>
      <c r="E40" s="10" t="s">
        <v>33</v>
      </c>
      <c r="F40" s="10" t="s">
        <v>26</v>
      </c>
      <c r="G40" s="10" t="n">
        <v>2</v>
      </c>
      <c r="H40" s="12" t="n">
        <v>260</v>
      </c>
      <c r="I40" s="12" t="n">
        <v>180</v>
      </c>
      <c r="J40" s="13" t="n">
        <f aca="false">G40*H40</f>
        <v>520</v>
      </c>
      <c r="K40" s="13" t="n">
        <f aca="false">J40-G40*I40</f>
        <v>160</v>
      </c>
    </row>
    <row r="41" customFormat="false" ht="15" hidden="false" customHeight="false" outlineLevel="0" collapsed="false">
      <c r="A41" s="10" t="s">
        <v>82</v>
      </c>
      <c r="B41" s="11" t="n">
        <v>45353</v>
      </c>
      <c r="C41" s="10" t="s">
        <v>53</v>
      </c>
      <c r="D41" s="10" t="s">
        <v>24</v>
      </c>
      <c r="E41" s="10" t="s">
        <v>25</v>
      </c>
      <c r="F41" s="10" t="s">
        <v>26</v>
      </c>
      <c r="G41" s="10" t="n">
        <v>4</v>
      </c>
      <c r="H41" s="12" t="n">
        <v>300</v>
      </c>
      <c r="I41" s="12" t="n">
        <v>200</v>
      </c>
      <c r="J41" s="13" t="n">
        <f aca="false">G41*H41</f>
        <v>1200</v>
      </c>
      <c r="K41" s="13" t="n">
        <f aca="false">J41-G41*I41</f>
        <v>400</v>
      </c>
    </row>
    <row r="42" customFormat="false" ht="15" hidden="false" customHeight="false" outlineLevel="0" collapsed="false">
      <c r="A42" s="10" t="s">
        <v>83</v>
      </c>
      <c r="B42" s="11" t="n">
        <v>45354</v>
      </c>
      <c r="C42" s="10" t="s">
        <v>84</v>
      </c>
      <c r="D42" s="10" t="s">
        <v>42</v>
      </c>
      <c r="E42" s="10" t="s">
        <v>38</v>
      </c>
      <c r="F42" s="10" t="s">
        <v>26</v>
      </c>
      <c r="G42" s="10" t="n">
        <v>1</v>
      </c>
      <c r="H42" s="12" t="n">
        <v>480</v>
      </c>
      <c r="I42" s="12" t="n">
        <v>220</v>
      </c>
      <c r="J42" s="13" t="n">
        <f aca="false">G42*H42</f>
        <v>480</v>
      </c>
      <c r="K42" s="13" t="n">
        <f aca="false">J42-G42*I42</f>
        <v>260</v>
      </c>
    </row>
    <row r="43" customFormat="false" ht="15" hidden="false" customHeight="false" outlineLevel="0" collapsed="false">
      <c r="A43" s="10" t="s">
        <v>85</v>
      </c>
      <c r="B43" s="11" t="n">
        <v>45356</v>
      </c>
      <c r="C43" s="10" t="s">
        <v>36</v>
      </c>
      <c r="D43" s="10" t="s">
        <v>29</v>
      </c>
      <c r="E43" s="10" t="s">
        <v>38</v>
      </c>
      <c r="F43" s="10" t="s">
        <v>26</v>
      </c>
      <c r="G43" s="10" t="n">
        <v>1</v>
      </c>
      <c r="H43" s="12" t="n">
        <v>380</v>
      </c>
      <c r="I43" s="12" t="n">
        <v>260</v>
      </c>
      <c r="J43" s="13" t="n">
        <f aca="false">G43*H43</f>
        <v>380</v>
      </c>
      <c r="K43" s="13" t="n">
        <f aca="false">J43-G43*I43</f>
        <v>120</v>
      </c>
    </row>
    <row r="44" customFormat="false" ht="15" hidden="false" customHeight="false" outlineLevel="0" collapsed="false">
      <c r="A44" s="10" t="s">
        <v>86</v>
      </c>
      <c r="B44" s="11" t="n">
        <v>45357</v>
      </c>
      <c r="C44" s="10" t="s">
        <v>36</v>
      </c>
      <c r="D44" s="10" t="s">
        <v>29</v>
      </c>
      <c r="E44" s="10" t="s">
        <v>25</v>
      </c>
      <c r="F44" s="10" t="s">
        <v>34</v>
      </c>
      <c r="G44" s="10" t="n">
        <v>3</v>
      </c>
      <c r="H44" s="12" t="n">
        <v>380</v>
      </c>
      <c r="I44" s="12" t="n">
        <v>260</v>
      </c>
      <c r="J44" s="13" t="n">
        <f aca="false">G44*H44</f>
        <v>1140</v>
      </c>
      <c r="K44" s="13" t="n">
        <f aca="false">J44-G44*I44</f>
        <v>360</v>
      </c>
    </row>
    <row r="45" customFormat="false" ht="15" hidden="false" customHeight="false" outlineLevel="0" collapsed="false">
      <c r="A45" s="10" t="s">
        <v>87</v>
      </c>
      <c r="B45" s="11" t="n">
        <v>45360</v>
      </c>
      <c r="C45" s="10" t="s">
        <v>49</v>
      </c>
      <c r="D45" s="10" t="s">
        <v>24</v>
      </c>
      <c r="E45" s="10" t="s">
        <v>38</v>
      </c>
      <c r="F45" s="10" t="s">
        <v>34</v>
      </c>
      <c r="G45" s="10" t="n">
        <v>3</v>
      </c>
      <c r="H45" s="12" t="n">
        <v>250</v>
      </c>
      <c r="I45" s="12" t="n">
        <v>170</v>
      </c>
      <c r="J45" s="13" t="n">
        <f aca="false">G45*H45</f>
        <v>750</v>
      </c>
      <c r="K45" s="13" t="n">
        <f aca="false">J45-G45*I45</f>
        <v>240</v>
      </c>
    </row>
    <row r="46" customFormat="false" ht="15" hidden="false" customHeight="false" outlineLevel="0" collapsed="false">
      <c r="A46" s="10" t="s">
        <v>88</v>
      </c>
      <c r="B46" s="11" t="n">
        <v>45362</v>
      </c>
      <c r="C46" s="10" t="s">
        <v>49</v>
      </c>
      <c r="D46" s="10" t="s">
        <v>24</v>
      </c>
      <c r="E46" s="10" t="s">
        <v>38</v>
      </c>
      <c r="F46" s="10" t="s">
        <v>34</v>
      </c>
      <c r="G46" s="10" t="n">
        <v>2</v>
      </c>
      <c r="H46" s="12" t="n">
        <v>250</v>
      </c>
      <c r="I46" s="12" t="n">
        <v>170</v>
      </c>
      <c r="J46" s="13" t="n">
        <f aca="false">G46*H46</f>
        <v>500</v>
      </c>
      <c r="K46" s="13" t="n">
        <f aca="false">J46-G46*I46</f>
        <v>160</v>
      </c>
    </row>
    <row r="47" customFormat="false" ht="15" hidden="false" customHeight="false" outlineLevel="0" collapsed="false">
      <c r="A47" s="10" t="s">
        <v>89</v>
      </c>
      <c r="B47" s="11" t="n">
        <v>45362</v>
      </c>
      <c r="C47" s="10" t="s">
        <v>55</v>
      </c>
      <c r="D47" s="10" t="s">
        <v>24</v>
      </c>
      <c r="E47" s="10" t="s">
        <v>33</v>
      </c>
      <c r="F47" s="10" t="s">
        <v>34</v>
      </c>
      <c r="G47" s="10" t="n">
        <v>1</v>
      </c>
      <c r="H47" s="12" t="n">
        <v>280</v>
      </c>
      <c r="I47" s="12" t="n">
        <v>190</v>
      </c>
      <c r="J47" s="13" t="n">
        <f aca="false">G47*H47</f>
        <v>280</v>
      </c>
      <c r="K47" s="13" t="n">
        <f aca="false">J47-G47*I47</f>
        <v>90</v>
      </c>
    </row>
    <row r="48" customFormat="false" ht="15" hidden="false" customHeight="false" outlineLevel="0" collapsed="false">
      <c r="A48" s="10" t="s">
        <v>90</v>
      </c>
      <c r="B48" s="11" t="n">
        <v>45364</v>
      </c>
      <c r="C48" s="10" t="s">
        <v>23</v>
      </c>
      <c r="D48" s="10" t="s">
        <v>24</v>
      </c>
      <c r="E48" s="10" t="s">
        <v>38</v>
      </c>
      <c r="F48" s="10" t="s">
        <v>26</v>
      </c>
      <c r="G48" s="10" t="n">
        <v>3</v>
      </c>
      <c r="H48" s="12" t="n">
        <v>260</v>
      </c>
      <c r="I48" s="12" t="n">
        <v>180</v>
      </c>
      <c r="J48" s="13" t="n">
        <f aca="false">G48*H48</f>
        <v>780</v>
      </c>
      <c r="K48" s="13" t="n">
        <f aca="false">J48-G48*I48</f>
        <v>240</v>
      </c>
    </row>
    <row r="49" customFormat="false" ht="15" hidden="false" customHeight="false" outlineLevel="0" collapsed="false">
      <c r="A49" s="10" t="s">
        <v>91</v>
      </c>
      <c r="B49" s="11" t="n">
        <v>45364</v>
      </c>
      <c r="C49" s="10" t="s">
        <v>41</v>
      </c>
      <c r="D49" s="10" t="s">
        <v>42</v>
      </c>
      <c r="E49" s="10" t="s">
        <v>30</v>
      </c>
      <c r="F49" s="10" t="s">
        <v>34</v>
      </c>
      <c r="G49" s="10" t="n">
        <v>4</v>
      </c>
      <c r="H49" s="12" t="n">
        <v>45</v>
      </c>
      <c r="I49" s="12" t="n">
        <v>20</v>
      </c>
      <c r="J49" s="13" t="n">
        <f aca="false">G49*H49</f>
        <v>180</v>
      </c>
      <c r="K49" s="13" t="n">
        <f aca="false">J49-G49*I49</f>
        <v>100</v>
      </c>
    </row>
    <row r="50" customFormat="false" ht="15" hidden="false" customHeight="false" outlineLevel="0" collapsed="false">
      <c r="A50" s="10" t="s">
        <v>92</v>
      </c>
      <c r="B50" s="11" t="n">
        <v>45366</v>
      </c>
      <c r="C50" s="10" t="s">
        <v>23</v>
      </c>
      <c r="D50" s="10" t="s">
        <v>24</v>
      </c>
      <c r="E50" s="10" t="s">
        <v>38</v>
      </c>
      <c r="F50" s="10" t="s">
        <v>26</v>
      </c>
      <c r="G50" s="10" t="n">
        <v>1</v>
      </c>
      <c r="H50" s="12" t="n">
        <v>260</v>
      </c>
      <c r="I50" s="12" t="n">
        <v>180</v>
      </c>
      <c r="J50" s="13" t="n">
        <f aca="false">G50*H50</f>
        <v>260</v>
      </c>
      <c r="K50" s="13" t="n">
        <f aca="false">J50-G50*I50</f>
        <v>80</v>
      </c>
    </row>
    <row r="51" customFormat="false" ht="15" hidden="false" customHeight="false" outlineLevel="0" collapsed="false">
      <c r="A51" s="10" t="s">
        <v>93</v>
      </c>
      <c r="B51" s="11" t="n">
        <v>45366</v>
      </c>
      <c r="C51" s="10" t="s">
        <v>55</v>
      </c>
      <c r="D51" s="10" t="s">
        <v>24</v>
      </c>
      <c r="E51" s="10" t="s">
        <v>38</v>
      </c>
      <c r="F51" s="10" t="s">
        <v>26</v>
      </c>
      <c r="G51" s="10" t="n">
        <v>4</v>
      </c>
      <c r="H51" s="12" t="n">
        <v>280</v>
      </c>
      <c r="I51" s="12" t="n">
        <v>190</v>
      </c>
      <c r="J51" s="13" t="n">
        <f aca="false">G51*H51</f>
        <v>1120</v>
      </c>
      <c r="K51" s="13" t="n">
        <f aca="false">J51-G51*I51</f>
        <v>360</v>
      </c>
    </row>
    <row r="52" customFormat="false" ht="15" hidden="false" customHeight="false" outlineLevel="0" collapsed="false">
      <c r="A52" s="10" t="s">
        <v>94</v>
      </c>
      <c r="B52" s="11" t="n">
        <v>45369</v>
      </c>
      <c r="C52" s="10" t="s">
        <v>53</v>
      </c>
      <c r="D52" s="10" t="s">
        <v>24</v>
      </c>
      <c r="E52" s="10" t="s">
        <v>38</v>
      </c>
      <c r="F52" s="10" t="s">
        <v>34</v>
      </c>
      <c r="G52" s="10" t="n">
        <v>1</v>
      </c>
      <c r="H52" s="12" t="n">
        <v>300</v>
      </c>
      <c r="I52" s="12" t="n">
        <v>200</v>
      </c>
      <c r="J52" s="13" t="n">
        <f aca="false">G52*H52</f>
        <v>300</v>
      </c>
      <c r="K52" s="13" t="n">
        <f aca="false">J52-G52*I52</f>
        <v>100</v>
      </c>
    </row>
    <row r="53" customFormat="false" ht="15" hidden="false" customHeight="false" outlineLevel="0" collapsed="false">
      <c r="A53" s="10" t="s">
        <v>95</v>
      </c>
      <c r="B53" s="11" t="n">
        <v>45371</v>
      </c>
      <c r="C53" s="10" t="s">
        <v>67</v>
      </c>
      <c r="D53" s="10" t="s">
        <v>68</v>
      </c>
      <c r="E53" s="10" t="s">
        <v>33</v>
      </c>
      <c r="F53" s="10" t="s">
        <v>26</v>
      </c>
      <c r="G53" s="10" t="n">
        <v>2</v>
      </c>
      <c r="H53" s="12" t="n">
        <v>2600</v>
      </c>
      <c r="I53" s="12" t="n">
        <v>2100</v>
      </c>
      <c r="J53" s="13" t="n">
        <f aca="false">G53*H53</f>
        <v>5200</v>
      </c>
      <c r="K53" s="13" t="n">
        <f aca="false">J53-G53*I53</f>
        <v>1000</v>
      </c>
    </row>
    <row r="54" customFormat="false" ht="15" hidden="false" customHeight="false" outlineLevel="0" collapsed="false">
      <c r="A54" s="10" t="s">
        <v>96</v>
      </c>
      <c r="B54" s="11" t="n">
        <v>45371</v>
      </c>
      <c r="C54" s="10" t="s">
        <v>49</v>
      </c>
      <c r="D54" s="10" t="s">
        <v>24</v>
      </c>
      <c r="E54" s="10" t="s">
        <v>38</v>
      </c>
      <c r="F54" s="10" t="s">
        <v>34</v>
      </c>
      <c r="G54" s="10" t="n">
        <v>1</v>
      </c>
      <c r="H54" s="12" t="n">
        <v>250</v>
      </c>
      <c r="I54" s="12" t="n">
        <v>170</v>
      </c>
      <c r="J54" s="13" t="n">
        <f aca="false">G54*H54</f>
        <v>250</v>
      </c>
      <c r="K54" s="13" t="n">
        <f aca="false">J54-G54*I54</f>
        <v>80</v>
      </c>
    </row>
    <row r="55" customFormat="false" ht="15" hidden="false" customHeight="false" outlineLevel="0" collapsed="false">
      <c r="A55" s="10" t="s">
        <v>97</v>
      </c>
      <c r="B55" s="11" t="n">
        <v>45374</v>
      </c>
      <c r="C55" s="10" t="s">
        <v>67</v>
      </c>
      <c r="D55" s="10" t="s">
        <v>68</v>
      </c>
      <c r="E55" s="10" t="s">
        <v>25</v>
      </c>
      <c r="F55" s="10" t="s">
        <v>34</v>
      </c>
      <c r="G55" s="10" t="n">
        <v>1</v>
      </c>
      <c r="H55" s="12" t="n">
        <v>2600</v>
      </c>
      <c r="I55" s="12" t="n">
        <v>2100</v>
      </c>
      <c r="J55" s="13" t="n">
        <f aca="false">G55*H55</f>
        <v>2600</v>
      </c>
      <c r="K55" s="13" t="n">
        <f aca="false">J55-G55*I55</f>
        <v>500</v>
      </c>
    </row>
    <row r="56" customFormat="false" ht="15" hidden="false" customHeight="false" outlineLevel="0" collapsed="false">
      <c r="A56" s="10" t="s">
        <v>98</v>
      </c>
      <c r="B56" s="11" t="n">
        <v>45378</v>
      </c>
      <c r="C56" s="10" t="s">
        <v>49</v>
      </c>
      <c r="D56" s="10" t="s">
        <v>24</v>
      </c>
      <c r="E56" s="10" t="s">
        <v>30</v>
      </c>
      <c r="F56" s="10" t="s">
        <v>26</v>
      </c>
      <c r="G56" s="10" t="n">
        <v>3</v>
      </c>
      <c r="H56" s="12" t="n">
        <v>250</v>
      </c>
      <c r="I56" s="12" t="n">
        <v>170</v>
      </c>
      <c r="J56" s="13" t="n">
        <f aca="false">G56*H56</f>
        <v>750</v>
      </c>
      <c r="K56" s="13" t="n">
        <f aca="false">J56-G56*I56</f>
        <v>240</v>
      </c>
    </row>
    <row r="57" customFormat="false" ht="15" hidden="false" customHeight="false" outlineLevel="0" collapsed="false">
      <c r="A57" s="10" t="s">
        <v>99</v>
      </c>
      <c r="B57" s="11" t="n">
        <v>45380</v>
      </c>
      <c r="C57" s="10" t="s">
        <v>28</v>
      </c>
      <c r="D57" s="10" t="s">
        <v>29</v>
      </c>
      <c r="E57" s="10" t="s">
        <v>33</v>
      </c>
      <c r="F57" s="10" t="s">
        <v>26</v>
      </c>
      <c r="G57" s="10" t="n">
        <v>4</v>
      </c>
      <c r="H57" s="12" t="n">
        <v>450</v>
      </c>
      <c r="I57" s="12" t="n">
        <v>280</v>
      </c>
      <c r="J57" s="13" t="n">
        <f aca="false">G57*H57</f>
        <v>1800</v>
      </c>
      <c r="K57" s="13" t="n">
        <f aca="false">J57-G57*I57</f>
        <v>680</v>
      </c>
    </row>
    <row r="58" customFormat="false" ht="15" hidden="false" customHeight="false" outlineLevel="0" collapsed="false">
      <c r="A58" s="10" t="s">
        <v>100</v>
      </c>
      <c r="B58" s="11" t="n">
        <v>45382</v>
      </c>
      <c r="C58" s="10" t="s">
        <v>101</v>
      </c>
      <c r="D58" s="10" t="s">
        <v>68</v>
      </c>
      <c r="E58" s="10" t="s">
        <v>25</v>
      </c>
      <c r="F58" s="10" t="s">
        <v>26</v>
      </c>
      <c r="G58" s="10" t="n">
        <v>1</v>
      </c>
      <c r="H58" s="12" t="n">
        <v>4200</v>
      </c>
      <c r="I58" s="12" t="n">
        <v>3300</v>
      </c>
      <c r="J58" s="13" t="n">
        <f aca="false">G58*H58</f>
        <v>4200</v>
      </c>
      <c r="K58" s="13" t="n">
        <f aca="false">J58-G58*I58</f>
        <v>900</v>
      </c>
    </row>
    <row r="59" customFormat="false" ht="15" hidden="false" customHeight="false" outlineLevel="0" collapsed="false">
      <c r="A59" s="10" t="s">
        <v>102</v>
      </c>
      <c r="B59" s="11" t="n">
        <v>45383</v>
      </c>
      <c r="C59" s="10" t="s">
        <v>28</v>
      </c>
      <c r="D59" s="10" t="s">
        <v>29</v>
      </c>
      <c r="E59" s="10" t="s">
        <v>30</v>
      </c>
      <c r="F59" s="10" t="s">
        <v>26</v>
      </c>
      <c r="G59" s="10" t="n">
        <v>1</v>
      </c>
      <c r="H59" s="12" t="n">
        <v>450</v>
      </c>
      <c r="I59" s="12" t="n">
        <v>280</v>
      </c>
      <c r="J59" s="13" t="n">
        <f aca="false">G59*H59</f>
        <v>450</v>
      </c>
      <c r="K59" s="13" t="n">
        <f aca="false">J59-G59*I59</f>
        <v>170</v>
      </c>
    </row>
    <row r="60" customFormat="false" ht="15" hidden="false" customHeight="false" outlineLevel="0" collapsed="false">
      <c r="A60" s="10" t="s">
        <v>103</v>
      </c>
      <c r="B60" s="11" t="n">
        <v>45383</v>
      </c>
      <c r="C60" s="10" t="s">
        <v>49</v>
      </c>
      <c r="D60" s="10" t="s">
        <v>24</v>
      </c>
      <c r="E60" s="10" t="s">
        <v>30</v>
      </c>
      <c r="F60" s="10" t="s">
        <v>34</v>
      </c>
      <c r="G60" s="10" t="n">
        <v>2</v>
      </c>
      <c r="H60" s="12" t="n">
        <v>250</v>
      </c>
      <c r="I60" s="12" t="n">
        <v>170</v>
      </c>
      <c r="J60" s="13" t="n">
        <f aca="false">G60*H60</f>
        <v>500</v>
      </c>
      <c r="K60" s="13" t="n">
        <f aca="false">J60-G60*I60</f>
        <v>160</v>
      </c>
    </row>
    <row r="61" customFormat="false" ht="15" hidden="false" customHeight="false" outlineLevel="0" collapsed="false">
      <c r="A61" s="10" t="s">
        <v>104</v>
      </c>
      <c r="B61" s="11" t="n">
        <v>45384</v>
      </c>
      <c r="C61" s="10" t="s">
        <v>101</v>
      </c>
      <c r="D61" s="10" t="s">
        <v>68</v>
      </c>
      <c r="E61" s="10" t="s">
        <v>38</v>
      </c>
      <c r="F61" s="10" t="s">
        <v>26</v>
      </c>
      <c r="G61" s="10" t="n">
        <v>1</v>
      </c>
      <c r="H61" s="12" t="n">
        <v>4200</v>
      </c>
      <c r="I61" s="12" t="n">
        <v>3300</v>
      </c>
      <c r="J61" s="13" t="n">
        <f aca="false">G61*H61</f>
        <v>4200</v>
      </c>
      <c r="K61" s="13" t="n">
        <f aca="false">J61-G61*I61</f>
        <v>900</v>
      </c>
    </row>
    <row r="62" customFormat="false" ht="15" hidden="false" customHeight="false" outlineLevel="0" collapsed="false">
      <c r="A62" s="10" t="s">
        <v>105</v>
      </c>
      <c r="B62" s="11" t="n">
        <v>45385</v>
      </c>
      <c r="C62" s="10" t="s">
        <v>55</v>
      </c>
      <c r="D62" s="10" t="s">
        <v>24</v>
      </c>
      <c r="E62" s="10" t="s">
        <v>38</v>
      </c>
      <c r="F62" s="10" t="s">
        <v>34</v>
      </c>
      <c r="G62" s="10" t="n">
        <v>1</v>
      </c>
      <c r="H62" s="12" t="n">
        <v>280</v>
      </c>
      <c r="I62" s="12" t="n">
        <v>190</v>
      </c>
      <c r="J62" s="13" t="n">
        <f aca="false">G62*H62</f>
        <v>280</v>
      </c>
      <c r="K62" s="13" t="n">
        <f aca="false">J62-G62*I62</f>
        <v>90</v>
      </c>
    </row>
    <row r="63" customFormat="false" ht="15" hidden="false" customHeight="false" outlineLevel="0" collapsed="false">
      <c r="A63" s="10" t="s">
        <v>106</v>
      </c>
      <c r="B63" s="11" t="n">
        <v>45386</v>
      </c>
      <c r="C63" s="10" t="s">
        <v>23</v>
      </c>
      <c r="D63" s="10" t="s">
        <v>24</v>
      </c>
      <c r="E63" s="10" t="s">
        <v>38</v>
      </c>
      <c r="F63" s="10" t="s">
        <v>34</v>
      </c>
      <c r="G63" s="10" t="n">
        <v>1</v>
      </c>
      <c r="H63" s="12" t="n">
        <v>260</v>
      </c>
      <c r="I63" s="12" t="n">
        <v>180</v>
      </c>
      <c r="J63" s="13" t="n">
        <f aca="false">G63*H63</f>
        <v>260</v>
      </c>
      <c r="K63" s="13" t="n">
        <f aca="false">J63-G63*I63</f>
        <v>80</v>
      </c>
    </row>
    <row r="64" customFormat="false" ht="15" hidden="false" customHeight="false" outlineLevel="0" collapsed="false">
      <c r="A64" s="10" t="s">
        <v>107</v>
      </c>
      <c r="B64" s="11" t="n">
        <v>45387</v>
      </c>
      <c r="C64" s="10" t="s">
        <v>32</v>
      </c>
      <c r="D64" s="10" t="s">
        <v>29</v>
      </c>
      <c r="E64" s="10" t="s">
        <v>25</v>
      </c>
      <c r="F64" s="10" t="s">
        <v>26</v>
      </c>
      <c r="G64" s="10" t="n">
        <v>3</v>
      </c>
      <c r="H64" s="12" t="n">
        <v>520</v>
      </c>
      <c r="I64" s="12" t="n">
        <v>300</v>
      </c>
      <c r="J64" s="13" t="n">
        <f aca="false">G64*H64</f>
        <v>1560</v>
      </c>
      <c r="K64" s="13" t="n">
        <f aca="false">J64-G64*I64</f>
        <v>660</v>
      </c>
    </row>
    <row r="65" customFormat="false" ht="15" hidden="false" customHeight="false" outlineLevel="0" collapsed="false">
      <c r="A65" s="10" t="s">
        <v>108</v>
      </c>
      <c r="B65" s="11" t="n">
        <v>45388</v>
      </c>
      <c r="C65" s="10" t="s">
        <v>53</v>
      </c>
      <c r="D65" s="10" t="s">
        <v>24</v>
      </c>
      <c r="E65" s="10" t="s">
        <v>25</v>
      </c>
      <c r="F65" s="10" t="s">
        <v>34</v>
      </c>
      <c r="G65" s="10" t="n">
        <v>1</v>
      </c>
      <c r="H65" s="12" t="n">
        <v>300</v>
      </c>
      <c r="I65" s="12" t="n">
        <v>200</v>
      </c>
      <c r="J65" s="13" t="n">
        <f aca="false">G65*H65</f>
        <v>300</v>
      </c>
      <c r="K65" s="13" t="n">
        <f aca="false">J65-G65*I65</f>
        <v>100</v>
      </c>
    </row>
    <row r="66" customFormat="false" ht="15" hidden="false" customHeight="false" outlineLevel="0" collapsed="false">
      <c r="A66" s="10" t="s">
        <v>109</v>
      </c>
      <c r="B66" s="11" t="n">
        <v>45390</v>
      </c>
      <c r="C66" s="10" t="s">
        <v>36</v>
      </c>
      <c r="D66" s="10" t="s">
        <v>29</v>
      </c>
      <c r="E66" s="10" t="s">
        <v>33</v>
      </c>
      <c r="F66" s="10" t="s">
        <v>26</v>
      </c>
      <c r="G66" s="10" t="n">
        <v>1</v>
      </c>
      <c r="H66" s="12" t="n">
        <v>380</v>
      </c>
      <c r="I66" s="12" t="n">
        <v>260</v>
      </c>
      <c r="J66" s="13" t="n">
        <f aca="false">G66*H66</f>
        <v>380</v>
      </c>
      <c r="K66" s="13" t="n">
        <f aca="false">J66-G66*I66</f>
        <v>120</v>
      </c>
    </row>
    <row r="67" customFormat="false" ht="15" hidden="false" customHeight="false" outlineLevel="0" collapsed="false">
      <c r="A67" s="10" t="s">
        <v>110</v>
      </c>
      <c r="B67" s="11" t="n">
        <v>45393</v>
      </c>
      <c r="C67" s="10" t="s">
        <v>36</v>
      </c>
      <c r="D67" s="10" t="s">
        <v>29</v>
      </c>
      <c r="E67" s="10" t="s">
        <v>33</v>
      </c>
      <c r="F67" s="10" t="s">
        <v>34</v>
      </c>
      <c r="G67" s="10" t="n">
        <v>4</v>
      </c>
      <c r="H67" s="12" t="n">
        <v>380</v>
      </c>
      <c r="I67" s="12" t="n">
        <v>260</v>
      </c>
      <c r="J67" s="13" t="n">
        <f aca="false">G67*H67</f>
        <v>1520</v>
      </c>
      <c r="K67" s="13" t="n">
        <f aca="false">J67-G67*I67</f>
        <v>480</v>
      </c>
    </row>
    <row r="68" customFormat="false" ht="15" hidden="false" customHeight="false" outlineLevel="0" collapsed="false">
      <c r="A68" s="10" t="s">
        <v>111</v>
      </c>
      <c r="B68" s="11" t="n">
        <v>45394</v>
      </c>
      <c r="C68" s="10" t="s">
        <v>49</v>
      </c>
      <c r="D68" s="10" t="s">
        <v>24</v>
      </c>
      <c r="E68" s="10" t="s">
        <v>33</v>
      </c>
      <c r="F68" s="10" t="s">
        <v>26</v>
      </c>
      <c r="G68" s="10" t="n">
        <v>1</v>
      </c>
      <c r="H68" s="12" t="n">
        <v>250</v>
      </c>
      <c r="I68" s="12" t="n">
        <v>170</v>
      </c>
      <c r="J68" s="13" t="n">
        <f aca="false">G68*H68</f>
        <v>250</v>
      </c>
      <c r="K68" s="13" t="n">
        <f aca="false">J68-G68*I68</f>
        <v>80</v>
      </c>
    </row>
    <row r="69" customFormat="false" ht="15" hidden="false" customHeight="false" outlineLevel="0" collapsed="false">
      <c r="A69" s="10" t="s">
        <v>112</v>
      </c>
      <c r="B69" s="11" t="n">
        <v>45396</v>
      </c>
      <c r="C69" s="10" t="s">
        <v>28</v>
      </c>
      <c r="D69" s="10" t="s">
        <v>29</v>
      </c>
      <c r="E69" s="10" t="s">
        <v>38</v>
      </c>
      <c r="F69" s="10" t="s">
        <v>26</v>
      </c>
      <c r="G69" s="10" t="n">
        <v>2</v>
      </c>
      <c r="H69" s="12" t="n">
        <v>450</v>
      </c>
      <c r="I69" s="12" t="n">
        <v>280</v>
      </c>
      <c r="J69" s="13" t="n">
        <f aca="false">G69*H69</f>
        <v>900</v>
      </c>
      <c r="K69" s="13" t="n">
        <f aca="false">J69-G69*I69</f>
        <v>340</v>
      </c>
    </row>
    <row r="70" customFormat="false" ht="15" hidden="false" customHeight="false" outlineLevel="0" collapsed="false">
      <c r="A70" s="10" t="s">
        <v>113</v>
      </c>
      <c r="B70" s="11" t="n">
        <v>45398</v>
      </c>
      <c r="C70" s="10" t="s">
        <v>36</v>
      </c>
      <c r="D70" s="10" t="s">
        <v>29</v>
      </c>
      <c r="E70" s="10" t="s">
        <v>38</v>
      </c>
      <c r="F70" s="10" t="s">
        <v>26</v>
      </c>
      <c r="G70" s="10" t="n">
        <v>1</v>
      </c>
      <c r="H70" s="12" t="n">
        <v>380</v>
      </c>
      <c r="I70" s="12" t="n">
        <v>260</v>
      </c>
      <c r="J70" s="13" t="n">
        <f aca="false">G70*H70</f>
        <v>380</v>
      </c>
      <c r="K70" s="13" t="n">
        <f aca="false">J70-G70*I70</f>
        <v>120</v>
      </c>
    </row>
    <row r="71" customFormat="false" ht="15" hidden="false" customHeight="false" outlineLevel="0" collapsed="false">
      <c r="A71" s="10" t="s">
        <v>114</v>
      </c>
      <c r="B71" s="11" t="n">
        <v>45399</v>
      </c>
      <c r="C71" s="10" t="s">
        <v>32</v>
      </c>
      <c r="D71" s="10" t="s">
        <v>29</v>
      </c>
      <c r="E71" s="10" t="s">
        <v>30</v>
      </c>
      <c r="F71" s="10" t="s">
        <v>34</v>
      </c>
      <c r="G71" s="10" t="n">
        <v>4</v>
      </c>
      <c r="H71" s="12" t="n">
        <v>520</v>
      </c>
      <c r="I71" s="12" t="n">
        <v>300</v>
      </c>
      <c r="J71" s="13" t="n">
        <f aca="false">G71*H71</f>
        <v>2080</v>
      </c>
      <c r="K71" s="13" t="n">
        <f aca="false">J71-G71*I71</f>
        <v>880</v>
      </c>
    </row>
    <row r="72" customFormat="false" ht="15" hidden="false" customHeight="false" outlineLevel="0" collapsed="false">
      <c r="A72" s="10" t="s">
        <v>115</v>
      </c>
      <c r="B72" s="11" t="n">
        <v>45399</v>
      </c>
      <c r="C72" s="10" t="s">
        <v>49</v>
      </c>
      <c r="D72" s="10" t="s">
        <v>24</v>
      </c>
      <c r="E72" s="10" t="s">
        <v>33</v>
      </c>
      <c r="F72" s="10" t="s">
        <v>34</v>
      </c>
      <c r="G72" s="10" t="n">
        <v>3</v>
      </c>
      <c r="H72" s="12" t="n">
        <v>250</v>
      </c>
      <c r="I72" s="12" t="n">
        <v>170</v>
      </c>
      <c r="J72" s="13" t="n">
        <f aca="false">G72*H72</f>
        <v>750</v>
      </c>
      <c r="K72" s="13" t="n">
        <f aca="false">J72-G72*I72</f>
        <v>240</v>
      </c>
    </row>
    <row r="73" customFormat="false" ht="15" hidden="false" customHeight="false" outlineLevel="0" collapsed="false">
      <c r="A73" s="10" t="s">
        <v>116</v>
      </c>
      <c r="B73" s="11" t="n">
        <v>45400</v>
      </c>
      <c r="C73" s="10" t="s">
        <v>55</v>
      </c>
      <c r="D73" s="10" t="s">
        <v>24</v>
      </c>
      <c r="E73" s="10" t="s">
        <v>30</v>
      </c>
      <c r="F73" s="10" t="s">
        <v>34</v>
      </c>
      <c r="G73" s="10" t="n">
        <v>3</v>
      </c>
      <c r="H73" s="12" t="n">
        <v>280</v>
      </c>
      <c r="I73" s="12" t="n">
        <v>190</v>
      </c>
      <c r="J73" s="13" t="n">
        <f aca="false">G73*H73</f>
        <v>840</v>
      </c>
      <c r="K73" s="13" t="n">
        <f aca="false">J73-G73*I73</f>
        <v>270</v>
      </c>
    </row>
    <row r="74" customFormat="false" ht="15" hidden="false" customHeight="false" outlineLevel="0" collapsed="false">
      <c r="A74" s="10" t="s">
        <v>117</v>
      </c>
      <c r="B74" s="11" t="n">
        <v>45403</v>
      </c>
      <c r="C74" s="10" t="s">
        <v>67</v>
      </c>
      <c r="D74" s="10" t="s">
        <v>68</v>
      </c>
      <c r="E74" s="10" t="s">
        <v>38</v>
      </c>
      <c r="F74" s="10" t="s">
        <v>34</v>
      </c>
      <c r="G74" s="10" t="n">
        <v>2</v>
      </c>
      <c r="H74" s="12" t="n">
        <v>2600</v>
      </c>
      <c r="I74" s="12" t="n">
        <v>2100</v>
      </c>
      <c r="J74" s="13" t="n">
        <f aca="false">G74*H74</f>
        <v>5200</v>
      </c>
      <c r="K74" s="13" t="n">
        <f aca="false">J74-G74*I74</f>
        <v>1000</v>
      </c>
    </row>
    <row r="75" customFormat="false" ht="15" hidden="false" customHeight="false" outlineLevel="0" collapsed="false">
      <c r="A75" s="10" t="s">
        <v>118</v>
      </c>
      <c r="B75" s="11" t="n">
        <v>45406</v>
      </c>
      <c r="C75" s="10" t="s">
        <v>32</v>
      </c>
      <c r="D75" s="10" t="s">
        <v>29</v>
      </c>
      <c r="E75" s="10" t="s">
        <v>38</v>
      </c>
      <c r="F75" s="10" t="s">
        <v>34</v>
      </c>
      <c r="G75" s="10" t="n">
        <v>3</v>
      </c>
      <c r="H75" s="12" t="n">
        <v>520</v>
      </c>
      <c r="I75" s="12" t="n">
        <v>300</v>
      </c>
      <c r="J75" s="13" t="n">
        <f aca="false">G75*H75</f>
        <v>1560</v>
      </c>
      <c r="K75" s="13" t="n">
        <f aca="false">J75-G75*I75</f>
        <v>660</v>
      </c>
    </row>
    <row r="76" customFormat="false" ht="15" hidden="false" customHeight="false" outlineLevel="0" collapsed="false">
      <c r="A76" s="10" t="s">
        <v>119</v>
      </c>
      <c r="B76" s="11" t="n">
        <v>45407</v>
      </c>
      <c r="C76" s="10" t="s">
        <v>28</v>
      </c>
      <c r="D76" s="10" t="s">
        <v>29</v>
      </c>
      <c r="E76" s="10" t="s">
        <v>30</v>
      </c>
      <c r="F76" s="10" t="s">
        <v>34</v>
      </c>
      <c r="G76" s="10" t="n">
        <v>1</v>
      </c>
      <c r="H76" s="12" t="n">
        <v>450</v>
      </c>
      <c r="I76" s="12" t="n">
        <v>280</v>
      </c>
      <c r="J76" s="13" t="n">
        <f aca="false">G76*H76</f>
        <v>450</v>
      </c>
      <c r="K76" s="13" t="n">
        <f aca="false">J76-G76*I76</f>
        <v>170</v>
      </c>
    </row>
    <row r="77" customFormat="false" ht="15" hidden="false" customHeight="false" outlineLevel="0" collapsed="false">
      <c r="A77" s="10" t="s">
        <v>120</v>
      </c>
      <c r="B77" s="11" t="n">
        <v>45407</v>
      </c>
      <c r="C77" s="10" t="s">
        <v>41</v>
      </c>
      <c r="D77" s="10" t="s">
        <v>42</v>
      </c>
      <c r="E77" s="10" t="s">
        <v>38</v>
      </c>
      <c r="F77" s="10" t="s">
        <v>34</v>
      </c>
      <c r="G77" s="10" t="n">
        <v>4</v>
      </c>
      <c r="H77" s="12" t="n">
        <v>45</v>
      </c>
      <c r="I77" s="12" t="n">
        <v>20</v>
      </c>
      <c r="J77" s="13" t="n">
        <f aca="false">G77*H77</f>
        <v>180</v>
      </c>
      <c r="K77" s="13" t="n">
        <f aca="false">J77-G77*I77</f>
        <v>100</v>
      </c>
    </row>
    <row r="78" customFormat="false" ht="15" hidden="false" customHeight="false" outlineLevel="0" collapsed="false">
      <c r="A78" s="10" t="s">
        <v>121</v>
      </c>
      <c r="B78" s="11" t="n">
        <v>45408</v>
      </c>
      <c r="C78" s="10" t="s">
        <v>32</v>
      </c>
      <c r="D78" s="10" t="s">
        <v>29</v>
      </c>
      <c r="E78" s="10" t="s">
        <v>57</v>
      </c>
      <c r="F78" s="10" t="s">
        <v>26</v>
      </c>
      <c r="G78" s="10" t="n">
        <v>1</v>
      </c>
      <c r="H78" s="12" t="n">
        <v>520</v>
      </c>
      <c r="I78" s="12" t="n">
        <v>300</v>
      </c>
      <c r="J78" s="13" t="n">
        <f aca="false">G78*H78</f>
        <v>520</v>
      </c>
      <c r="K78" s="13" t="n">
        <f aca="false">J78-G78*I78</f>
        <v>220</v>
      </c>
    </row>
    <row r="79" customFormat="false" ht="15" hidden="false" customHeight="false" outlineLevel="0" collapsed="false">
      <c r="A79" s="10" t="s">
        <v>122</v>
      </c>
      <c r="B79" s="11" t="n">
        <v>45408</v>
      </c>
      <c r="C79" s="10" t="s">
        <v>28</v>
      </c>
      <c r="D79" s="10" t="s">
        <v>29</v>
      </c>
      <c r="E79" s="10" t="s">
        <v>38</v>
      </c>
      <c r="F79" s="10" t="s">
        <v>34</v>
      </c>
      <c r="G79" s="10" t="n">
        <v>4</v>
      </c>
      <c r="H79" s="12" t="n">
        <v>450</v>
      </c>
      <c r="I79" s="12" t="n">
        <v>280</v>
      </c>
      <c r="J79" s="13" t="n">
        <f aca="false">G79*H79</f>
        <v>1800</v>
      </c>
      <c r="K79" s="13" t="n">
        <f aca="false">J79-G79*I79</f>
        <v>680</v>
      </c>
    </row>
    <row r="80" customFormat="false" ht="15" hidden="false" customHeight="false" outlineLevel="0" collapsed="false">
      <c r="A80" s="10" t="s">
        <v>123</v>
      </c>
      <c r="B80" s="11" t="n">
        <v>45410</v>
      </c>
      <c r="C80" s="10" t="s">
        <v>67</v>
      </c>
      <c r="D80" s="10" t="s">
        <v>68</v>
      </c>
      <c r="E80" s="10" t="s">
        <v>38</v>
      </c>
      <c r="F80" s="10" t="s">
        <v>26</v>
      </c>
      <c r="G80" s="10" t="n">
        <v>1</v>
      </c>
      <c r="H80" s="12" t="n">
        <v>2600</v>
      </c>
      <c r="I80" s="12" t="n">
        <v>2100</v>
      </c>
      <c r="J80" s="13" t="n">
        <f aca="false">G80*H80</f>
        <v>2600</v>
      </c>
      <c r="K80" s="13" t="n">
        <f aca="false">J80-G80*I80</f>
        <v>500</v>
      </c>
    </row>
    <row r="81" customFormat="false" ht="15" hidden="false" customHeight="false" outlineLevel="0" collapsed="false">
      <c r="A81" s="10" t="s">
        <v>124</v>
      </c>
      <c r="B81" s="11" t="n">
        <v>45411</v>
      </c>
      <c r="C81" s="10" t="s">
        <v>49</v>
      </c>
      <c r="D81" s="10" t="s">
        <v>24</v>
      </c>
      <c r="E81" s="10" t="s">
        <v>38</v>
      </c>
      <c r="F81" s="10" t="s">
        <v>26</v>
      </c>
      <c r="G81" s="10" t="n">
        <v>3</v>
      </c>
      <c r="H81" s="12" t="n">
        <v>250</v>
      </c>
      <c r="I81" s="12" t="n">
        <v>170</v>
      </c>
      <c r="J81" s="13" t="n">
        <f aca="false">G81*H81</f>
        <v>750</v>
      </c>
      <c r="K81" s="13" t="n">
        <f aca="false">J81-G81*I81</f>
        <v>240</v>
      </c>
    </row>
    <row r="82" customFormat="false" ht="15" hidden="false" customHeight="false" outlineLevel="0" collapsed="false">
      <c r="A82" s="10" t="s">
        <v>125</v>
      </c>
      <c r="B82" s="11" t="n">
        <v>45412</v>
      </c>
      <c r="C82" s="10" t="s">
        <v>41</v>
      </c>
      <c r="D82" s="10" t="s">
        <v>42</v>
      </c>
      <c r="E82" s="10" t="s">
        <v>25</v>
      </c>
      <c r="F82" s="10" t="s">
        <v>26</v>
      </c>
      <c r="G82" s="10" t="n">
        <v>4</v>
      </c>
      <c r="H82" s="12" t="n">
        <v>45</v>
      </c>
      <c r="I82" s="12" t="n">
        <v>20</v>
      </c>
      <c r="J82" s="13" t="n">
        <f aca="false">G82*H82</f>
        <v>180</v>
      </c>
      <c r="K82" s="13" t="n">
        <f aca="false">J82-G82*I82</f>
        <v>100</v>
      </c>
    </row>
    <row r="83" customFormat="false" ht="15" hidden="false" customHeight="false" outlineLevel="0" collapsed="false">
      <c r="A83" s="10" t="s">
        <v>126</v>
      </c>
      <c r="B83" s="11" t="n">
        <v>45412</v>
      </c>
      <c r="C83" s="10" t="s">
        <v>49</v>
      </c>
      <c r="D83" s="10" t="s">
        <v>24</v>
      </c>
      <c r="E83" s="10" t="s">
        <v>38</v>
      </c>
      <c r="F83" s="10" t="s">
        <v>34</v>
      </c>
      <c r="G83" s="10" t="n">
        <v>2</v>
      </c>
      <c r="H83" s="12" t="n">
        <v>250</v>
      </c>
      <c r="I83" s="12" t="n">
        <v>170</v>
      </c>
      <c r="J83" s="13" t="n">
        <f aca="false">G83*H83</f>
        <v>500</v>
      </c>
      <c r="K83" s="13" t="n">
        <f aca="false">J83-G83*I83</f>
        <v>160</v>
      </c>
    </row>
    <row r="84" customFormat="false" ht="15" hidden="false" customHeight="false" outlineLevel="0" collapsed="false">
      <c r="A84" s="10" t="s">
        <v>127</v>
      </c>
      <c r="B84" s="11" t="n">
        <v>45413</v>
      </c>
      <c r="C84" s="10" t="s">
        <v>51</v>
      </c>
      <c r="D84" s="10" t="s">
        <v>42</v>
      </c>
      <c r="E84" s="10" t="s">
        <v>33</v>
      </c>
      <c r="F84" s="10" t="s">
        <v>26</v>
      </c>
      <c r="G84" s="10" t="n">
        <v>1</v>
      </c>
      <c r="H84" s="12" t="n">
        <v>130</v>
      </c>
      <c r="I84" s="12" t="n">
        <v>60</v>
      </c>
      <c r="J84" s="13" t="n">
        <f aca="false">G84*H84</f>
        <v>130</v>
      </c>
      <c r="K84" s="13" t="n">
        <f aca="false">J84-G84*I84</f>
        <v>70</v>
      </c>
    </row>
    <row r="85" customFormat="false" ht="15" hidden="false" customHeight="false" outlineLevel="0" collapsed="false">
      <c r="A85" s="10" t="s">
        <v>128</v>
      </c>
      <c r="B85" s="11" t="n">
        <v>45413</v>
      </c>
      <c r="C85" s="10" t="s">
        <v>28</v>
      </c>
      <c r="D85" s="10" t="s">
        <v>29</v>
      </c>
      <c r="E85" s="10" t="s">
        <v>30</v>
      </c>
      <c r="F85" s="10" t="s">
        <v>26</v>
      </c>
      <c r="G85" s="10" t="n">
        <v>4</v>
      </c>
      <c r="H85" s="12" t="n">
        <v>450</v>
      </c>
      <c r="I85" s="12" t="n">
        <v>280</v>
      </c>
      <c r="J85" s="13" t="n">
        <f aca="false">G85*H85</f>
        <v>1800</v>
      </c>
      <c r="K85" s="13" t="n">
        <f aca="false">J85-G85*I85</f>
        <v>680</v>
      </c>
    </row>
    <row r="86" customFormat="false" ht="15" hidden="false" customHeight="false" outlineLevel="0" collapsed="false">
      <c r="A86" s="10" t="s">
        <v>129</v>
      </c>
      <c r="B86" s="11" t="n">
        <v>45416</v>
      </c>
      <c r="C86" s="10" t="s">
        <v>84</v>
      </c>
      <c r="D86" s="10" t="s">
        <v>42</v>
      </c>
      <c r="E86" s="10" t="s">
        <v>38</v>
      </c>
      <c r="F86" s="10" t="s">
        <v>26</v>
      </c>
      <c r="G86" s="10" t="n">
        <v>4</v>
      </c>
      <c r="H86" s="12" t="n">
        <v>480</v>
      </c>
      <c r="I86" s="12" t="n">
        <v>220</v>
      </c>
      <c r="J86" s="13" t="n">
        <f aca="false">G86*H86</f>
        <v>1920</v>
      </c>
      <c r="K86" s="13" t="n">
        <f aca="false">J86-G86*I86</f>
        <v>1040</v>
      </c>
    </row>
    <row r="87" customFormat="false" ht="15" hidden="false" customHeight="false" outlineLevel="0" collapsed="false">
      <c r="A87" s="10" t="s">
        <v>130</v>
      </c>
      <c r="B87" s="11" t="n">
        <v>45416</v>
      </c>
      <c r="C87" s="10" t="s">
        <v>55</v>
      </c>
      <c r="D87" s="10" t="s">
        <v>24</v>
      </c>
      <c r="E87" s="10" t="s">
        <v>38</v>
      </c>
      <c r="F87" s="10" t="s">
        <v>26</v>
      </c>
      <c r="G87" s="10" t="n">
        <v>3</v>
      </c>
      <c r="H87" s="12" t="n">
        <v>280</v>
      </c>
      <c r="I87" s="12" t="n">
        <v>190</v>
      </c>
      <c r="J87" s="13" t="n">
        <f aca="false">G87*H87</f>
        <v>840</v>
      </c>
      <c r="K87" s="13" t="n">
        <f aca="false">J87-G87*I87</f>
        <v>270</v>
      </c>
    </row>
    <row r="88" customFormat="false" ht="15" hidden="false" customHeight="false" outlineLevel="0" collapsed="false">
      <c r="A88" s="10" t="s">
        <v>131</v>
      </c>
      <c r="B88" s="11" t="n">
        <v>45417</v>
      </c>
      <c r="C88" s="10" t="s">
        <v>49</v>
      </c>
      <c r="D88" s="10" t="s">
        <v>24</v>
      </c>
      <c r="E88" s="10" t="s">
        <v>25</v>
      </c>
      <c r="F88" s="10" t="s">
        <v>26</v>
      </c>
      <c r="G88" s="10" t="n">
        <v>3</v>
      </c>
      <c r="H88" s="12" t="n">
        <v>250</v>
      </c>
      <c r="I88" s="12" t="n">
        <v>170</v>
      </c>
      <c r="J88" s="13" t="n">
        <f aca="false">G88*H88</f>
        <v>750</v>
      </c>
      <c r="K88" s="13" t="n">
        <f aca="false">J88-G88*I88</f>
        <v>240</v>
      </c>
    </row>
    <row r="89" customFormat="false" ht="15" hidden="false" customHeight="false" outlineLevel="0" collapsed="false">
      <c r="A89" s="10" t="s">
        <v>132</v>
      </c>
      <c r="B89" s="11" t="n">
        <v>45417</v>
      </c>
      <c r="C89" s="10" t="s">
        <v>32</v>
      </c>
      <c r="D89" s="10" t="s">
        <v>29</v>
      </c>
      <c r="E89" s="10" t="s">
        <v>25</v>
      </c>
      <c r="F89" s="10" t="s">
        <v>26</v>
      </c>
      <c r="G89" s="10" t="n">
        <v>1</v>
      </c>
      <c r="H89" s="12" t="n">
        <v>520</v>
      </c>
      <c r="I89" s="12" t="n">
        <v>300</v>
      </c>
      <c r="J89" s="13" t="n">
        <f aca="false">G89*H89</f>
        <v>520</v>
      </c>
      <c r="K89" s="13" t="n">
        <f aca="false">J89-G89*I89</f>
        <v>220</v>
      </c>
    </row>
    <row r="90" customFormat="false" ht="15" hidden="false" customHeight="false" outlineLevel="0" collapsed="false">
      <c r="A90" s="10" t="s">
        <v>133</v>
      </c>
      <c r="B90" s="11" t="n">
        <v>45418</v>
      </c>
      <c r="C90" s="10" t="s">
        <v>23</v>
      </c>
      <c r="D90" s="10" t="s">
        <v>24</v>
      </c>
      <c r="E90" s="10" t="s">
        <v>38</v>
      </c>
      <c r="F90" s="10" t="s">
        <v>26</v>
      </c>
      <c r="G90" s="10" t="n">
        <v>2</v>
      </c>
      <c r="H90" s="12" t="n">
        <v>260</v>
      </c>
      <c r="I90" s="12" t="n">
        <v>180</v>
      </c>
      <c r="J90" s="13" t="n">
        <f aca="false">G90*H90</f>
        <v>520</v>
      </c>
      <c r="K90" s="13" t="n">
        <f aca="false">J90-G90*I90</f>
        <v>160</v>
      </c>
    </row>
    <row r="91" customFormat="false" ht="15" hidden="false" customHeight="false" outlineLevel="0" collapsed="false">
      <c r="A91" s="10" t="s">
        <v>134</v>
      </c>
      <c r="B91" s="11" t="n">
        <v>45419</v>
      </c>
      <c r="C91" s="10" t="s">
        <v>36</v>
      </c>
      <c r="D91" s="10" t="s">
        <v>29</v>
      </c>
      <c r="E91" s="10" t="s">
        <v>30</v>
      </c>
      <c r="F91" s="10" t="s">
        <v>26</v>
      </c>
      <c r="G91" s="10" t="n">
        <v>1</v>
      </c>
      <c r="H91" s="12" t="n">
        <v>380</v>
      </c>
      <c r="I91" s="12" t="n">
        <v>260</v>
      </c>
      <c r="J91" s="13" t="n">
        <f aca="false">G91*H91</f>
        <v>380</v>
      </c>
      <c r="K91" s="13" t="n">
        <f aca="false">J91-G91*I91</f>
        <v>120</v>
      </c>
    </row>
    <row r="92" customFormat="false" ht="15" hidden="false" customHeight="false" outlineLevel="0" collapsed="false">
      <c r="A92" s="10" t="s">
        <v>135</v>
      </c>
      <c r="B92" s="11" t="n">
        <v>45419</v>
      </c>
      <c r="C92" s="10" t="s">
        <v>55</v>
      </c>
      <c r="D92" s="10" t="s">
        <v>24</v>
      </c>
      <c r="E92" s="10" t="s">
        <v>30</v>
      </c>
      <c r="F92" s="10" t="s">
        <v>34</v>
      </c>
      <c r="G92" s="10" t="n">
        <v>3</v>
      </c>
      <c r="H92" s="12" t="n">
        <v>280</v>
      </c>
      <c r="I92" s="12" t="n">
        <v>190</v>
      </c>
      <c r="J92" s="13" t="n">
        <f aca="false">G92*H92</f>
        <v>840</v>
      </c>
      <c r="K92" s="13" t="n">
        <f aca="false">J92-G92*I92</f>
        <v>270</v>
      </c>
    </row>
    <row r="93" customFormat="false" ht="15" hidden="false" customHeight="false" outlineLevel="0" collapsed="false">
      <c r="A93" s="10" t="s">
        <v>136</v>
      </c>
      <c r="B93" s="11" t="n">
        <v>45422</v>
      </c>
      <c r="C93" s="10" t="s">
        <v>55</v>
      </c>
      <c r="D93" s="10" t="s">
        <v>24</v>
      </c>
      <c r="E93" s="10" t="s">
        <v>30</v>
      </c>
      <c r="F93" s="10" t="s">
        <v>34</v>
      </c>
      <c r="G93" s="10" t="n">
        <v>3</v>
      </c>
      <c r="H93" s="12" t="n">
        <v>280</v>
      </c>
      <c r="I93" s="12" t="n">
        <v>190</v>
      </c>
      <c r="J93" s="13" t="n">
        <f aca="false">G93*H93</f>
        <v>840</v>
      </c>
      <c r="K93" s="13" t="n">
        <f aca="false">J93-G93*I93</f>
        <v>270</v>
      </c>
    </row>
    <row r="94" customFormat="false" ht="15" hidden="false" customHeight="false" outlineLevel="0" collapsed="false">
      <c r="A94" s="10" t="s">
        <v>137</v>
      </c>
      <c r="B94" s="11" t="n">
        <v>45422</v>
      </c>
      <c r="C94" s="10" t="s">
        <v>41</v>
      </c>
      <c r="D94" s="10" t="s">
        <v>42</v>
      </c>
      <c r="E94" s="10" t="s">
        <v>38</v>
      </c>
      <c r="F94" s="10" t="s">
        <v>34</v>
      </c>
      <c r="G94" s="10" t="n">
        <v>1</v>
      </c>
      <c r="H94" s="12" t="n">
        <v>45</v>
      </c>
      <c r="I94" s="12" t="n">
        <v>20</v>
      </c>
      <c r="J94" s="13" t="n">
        <f aca="false">G94*H94</f>
        <v>45</v>
      </c>
      <c r="K94" s="13" t="n">
        <f aca="false">J94-G94*I94</f>
        <v>25</v>
      </c>
    </row>
    <row r="95" customFormat="false" ht="15" hidden="false" customHeight="false" outlineLevel="0" collapsed="false">
      <c r="A95" s="10" t="s">
        <v>138</v>
      </c>
      <c r="B95" s="11" t="n">
        <v>45426</v>
      </c>
      <c r="C95" s="10" t="s">
        <v>23</v>
      </c>
      <c r="D95" s="10" t="s">
        <v>24</v>
      </c>
      <c r="E95" s="10" t="s">
        <v>38</v>
      </c>
      <c r="F95" s="10" t="s">
        <v>34</v>
      </c>
      <c r="G95" s="10" t="n">
        <v>4</v>
      </c>
      <c r="H95" s="12" t="n">
        <v>260</v>
      </c>
      <c r="I95" s="12" t="n">
        <v>180</v>
      </c>
      <c r="J95" s="13" t="n">
        <f aca="false">G95*H95</f>
        <v>1040</v>
      </c>
      <c r="K95" s="13" t="n">
        <f aca="false">J95-G95*I95</f>
        <v>320</v>
      </c>
    </row>
    <row r="96" customFormat="false" ht="15" hidden="false" customHeight="false" outlineLevel="0" collapsed="false">
      <c r="A96" s="10" t="s">
        <v>139</v>
      </c>
      <c r="B96" s="11" t="n">
        <v>45427</v>
      </c>
      <c r="C96" s="10" t="s">
        <v>101</v>
      </c>
      <c r="D96" s="10" t="s">
        <v>68</v>
      </c>
      <c r="E96" s="10" t="s">
        <v>38</v>
      </c>
      <c r="F96" s="10" t="s">
        <v>26</v>
      </c>
      <c r="G96" s="10" t="n">
        <v>1</v>
      </c>
      <c r="H96" s="12" t="n">
        <v>4200</v>
      </c>
      <c r="I96" s="12" t="n">
        <v>3300</v>
      </c>
      <c r="J96" s="13" t="n">
        <f aca="false">G96*H96</f>
        <v>4200</v>
      </c>
      <c r="K96" s="13" t="n">
        <f aca="false">J96-G96*I96</f>
        <v>900</v>
      </c>
    </row>
    <row r="97" customFormat="false" ht="15" hidden="false" customHeight="false" outlineLevel="0" collapsed="false">
      <c r="A97" s="10" t="s">
        <v>140</v>
      </c>
      <c r="B97" s="11" t="n">
        <v>45428</v>
      </c>
      <c r="C97" s="10" t="s">
        <v>41</v>
      </c>
      <c r="D97" s="10" t="s">
        <v>42</v>
      </c>
      <c r="E97" s="10" t="s">
        <v>38</v>
      </c>
      <c r="F97" s="10" t="s">
        <v>34</v>
      </c>
      <c r="G97" s="10" t="n">
        <v>4</v>
      </c>
      <c r="H97" s="12" t="n">
        <v>45</v>
      </c>
      <c r="I97" s="12" t="n">
        <v>20</v>
      </c>
      <c r="J97" s="13" t="n">
        <f aca="false">G97*H97</f>
        <v>180</v>
      </c>
      <c r="K97" s="13" t="n">
        <f aca="false">J97-G97*I97</f>
        <v>100</v>
      </c>
    </row>
    <row r="98" customFormat="false" ht="15" hidden="false" customHeight="false" outlineLevel="0" collapsed="false">
      <c r="A98" s="10" t="s">
        <v>141</v>
      </c>
      <c r="B98" s="11" t="n">
        <v>45432</v>
      </c>
      <c r="C98" s="10" t="s">
        <v>55</v>
      </c>
      <c r="D98" s="10" t="s">
        <v>24</v>
      </c>
      <c r="E98" s="10" t="s">
        <v>30</v>
      </c>
      <c r="F98" s="10" t="s">
        <v>26</v>
      </c>
      <c r="G98" s="10" t="n">
        <v>3</v>
      </c>
      <c r="H98" s="12" t="n">
        <v>280</v>
      </c>
      <c r="I98" s="12" t="n">
        <v>190</v>
      </c>
      <c r="J98" s="13" t="n">
        <f aca="false">G98*H98</f>
        <v>840</v>
      </c>
      <c r="K98" s="13" t="n">
        <f aca="false">J98-G98*I98</f>
        <v>270</v>
      </c>
    </row>
    <row r="99" customFormat="false" ht="15" hidden="false" customHeight="false" outlineLevel="0" collapsed="false">
      <c r="A99" s="10" t="s">
        <v>142</v>
      </c>
      <c r="B99" s="11" t="n">
        <v>45433</v>
      </c>
      <c r="C99" s="10" t="s">
        <v>55</v>
      </c>
      <c r="D99" s="10" t="s">
        <v>24</v>
      </c>
      <c r="E99" s="10" t="s">
        <v>38</v>
      </c>
      <c r="F99" s="10" t="s">
        <v>34</v>
      </c>
      <c r="G99" s="10" t="n">
        <v>2</v>
      </c>
      <c r="H99" s="12" t="n">
        <v>280</v>
      </c>
      <c r="I99" s="12" t="n">
        <v>190</v>
      </c>
      <c r="J99" s="13" t="n">
        <f aca="false">G99*H99</f>
        <v>560</v>
      </c>
      <c r="K99" s="13" t="n">
        <f aca="false">J99-G99*I99</f>
        <v>180</v>
      </c>
    </row>
    <row r="100" customFormat="false" ht="15" hidden="false" customHeight="false" outlineLevel="0" collapsed="false">
      <c r="A100" s="10" t="s">
        <v>143</v>
      </c>
      <c r="B100" s="11" t="n">
        <v>45433</v>
      </c>
      <c r="C100" s="10" t="s">
        <v>55</v>
      </c>
      <c r="D100" s="10" t="s">
        <v>24</v>
      </c>
      <c r="E100" s="10" t="s">
        <v>30</v>
      </c>
      <c r="F100" s="10" t="s">
        <v>26</v>
      </c>
      <c r="G100" s="10" t="n">
        <v>2</v>
      </c>
      <c r="H100" s="12" t="n">
        <v>280</v>
      </c>
      <c r="I100" s="12" t="n">
        <v>190</v>
      </c>
      <c r="J100" s="13" t="n">
        <f aca="false">G100*H100</f>
        <v>560</v>
      </c>
      <c r="K100" s="13" t="n">
        <f aca="false">J100-G100*I100</f>
        <v>180</v>
      </c>
    </row>
    <row r="101" customFormat="false" ht="15" hidden="false" customHeight="false" outlineLevel="0" collapsed="false">
      <c r="A101" s="10" t="s">
        <v>144</v>
      </c>
      <c r="B101" s="11" t="n">
        <v>45434</v>
      </c>
      <c r="C101" s="10" t="s">
        <v>49</v>
      </c>
      <c r="D101" s="10" t="s">
        <v>24</v>
      </c>
      <c r="E101" s="10" t="s">
        <v>30</v>
      </c>
      <c r="F101" s="10" t="s">
        <v>34</v>
      </c>
      <c r="G101" s="10" t="n">
        <v>4</v>
      </c>
      <c r="H101" s="12" t="n">
        <v>250</v>
      </c>
      <c r="I101" s="12" t="n">
        <v>170</v>
      </c>
      <c r="J101" s="13" t="n">
        <f aca="false">G101*H101</f>
        <v>1000</v>
      </c>
      <c r="K101" s="13" t="n">
        <f aca="false">J101-G101*I101</f>
        <v>320</v>
      </c>
    </row>
    <row r="102" customFormat="false" ht="15" hidden="false" customHeight="false" outlineLevel="0" collapsed="false">
      <c r="A102" s="10" t="s">
        <v>145</v>
      </c>
      <c r="B102" s="11" t="n">
        <v>45434</v>
      </c>
      <c r="C102" s="10" t="s">
        <v>41</v>
      </c>
      <c r="D102" s="10" t="s">
        <v>42</v>
      </c>
      <c r="E102" s="10" t="s">
        <v>38</v>
      </c>
      <c r="F102" s="10" t="s">
        <v>26</v>
      </c>
      <c r="G102" s="10" t="n">
        <v>3</v>
      </c>
      <c r="H102" s="12" t="n">
        <v>45</v>
      </c>
      <c r="I102" s="12" t="n">
        <v>20</v>
      </c>
      <c r="J102" s="13" t="n">
        <f aca="false">G102*H102</f>
        <v>135</v>
      </c>
      <c r="K102" s="13" t="n">
        <f aca="false">J102-G102*I102</f>
        <v>75</v>
      </c>
    </row>
    <row r="103" customFormat="false" ht="15" hidden="false" customHeight="false" outlineLevel="0" collapsed="false">
      <c r="A103" s="10" t="s">
        <v>146</v>
      </c>
      <c r="B103" s="11" t="n">
        <v>45436</v>
      </c>
      <c r="C103" s="10" t="s">
        <v>55</v>
      </c>
      <c r="D103" s="10" t="s">
        <v>24</v>
      </c>
      <c r="E103" s="10" t="s">
        <v>30</v>
      </c>
      <c r="F103" s="10" t="s">
        <v>26</v>
      </c>
      <c r="G103" s="10" t="n">
        <v>2</v>
      </c>
      <c r="H103" s="12" t="n">
        <v>280</v>
      </c>
      <c r="I103" s="12" t="n">
        <v>190</v>
      </c>
      <c r="J103" s="13" t="n">
        <f aca="false">G103*H103</f>
        <v>560</v>
      </c>
      <c r="K103" s="13" t="n">
        <f aca="false">J103-G103*I103</f>
        <v>180</v>
      </c>
    </row>
    <row r="104" customFormat="false" ht="15" hidden="false" customHeight="false" outlineLevel="0" collapsed="false">
      <c r="A104" s="10" t="s">
        <v>147</v>
      </c>
      <c r="B104" s="11" t="n">
        <v>45436</v>
      </c>
      <c r="C104" s="10" t="s">
        <v>41</v>
      </c>
      <c r="D104" s="10" t="s">
        <v>42</v>
      </c>
      <c r="E104" s="10" t="s">
        <v>30</v>
      </c>
      <c r="F104" s="10" t="s">
        <v>34</v>
      </c>
      <c r="G104" s="10" t="n">
        <v>2</v>
      </c>
      <c r="H104" s="12" t="n">
        <v>45</v>
      </c>
      <c r="I104" s="12" t="n">
        <v>20</v>
      </c>
      <c r="J104" s="13" t="n">
        <f aca="false">G104*H104</f>
        <v>90</v>
      </c>
      <c r="K104" s="13" t="n">
        <f aca="false">J104-G104*I104</f>
        <v>50</v>
      </c>
    </row>
    <row r="105" customFormat="false" ht="15" hidden="false" customHeight="false" outlineLevel="0" collapsed="false">
      <c r="A105" s="10" t="s">
        <v>148</v>
      </c>
      <c r="B105" s="11" t="n">
        <v>45436</v>
      </c>
      <c r="C105" s="10" t="s">
        <v>36</v>
      </c>
      <c r="D105" s="10" t="s">
        <v>29</v>
      </c>
      <c r="E105" s="10" t="s">
        <v>38</v>
      </c>
      <c r="F105" s="10" t="s">
        <v>34</v>
      </c>
      <c r="G105" s="10" t="n">
        <v>1</v>
      </c>
      <c r="H105" s="12" t="n">
        <v>380</v>
      </c>
      <c r="I105" s="12" t="n">
        <v>260</v>
      </c>
      <c r="J105" s="13" t="n">
        <f aca="false">G105*H105</f>
        <v>380</v>
      </c>
      <c r="K105" s="13" t="n">
        <f aca="false">J105-G105*I105</f>
        <v>120</v>
      </c>
    </row>
    <row r="106" customFormat="false" ht="15" hidden="false" customHeight="false" outlineLevel="0" collapsed="false">
      <c r="A106" s="10" t="s">
        <v>149</v>
      </c>
      <c r="B106" s="11" t="n">
        <v>45437</v>
      </c>
      <c r="C106" s="10" t="s">
        <v>28</v>
      </c>
      <c r="D106" s="10" t="s">
        <v>29</v>
      </c>
      <c r="E106" s="10" t="s">
        <v>38</v>
      </c>
      <c r="F106" s="10" t="s">
        <v>26</v>
      </c>
      <c r="G106" s="10" t="n">
        <v>2</v>
      </c>
      <c r="H106" s="12" t="n">
        <v>450</v>
      </c>
      <c r="I106" s="12" t="n">
        <v>280</v>
      </c>
      <c r="J106" s="13" t="n">
        <f aca="false">G106*H106</f>
        <v>900</v>
      </c>
      <c r="K106" s="13" t="n">
        <f aca="false">J106-G106*I106</f>
        <v>340</v>
      </c>
    </row>
    <row r="107" customFormat="false" ht="15" hidden="false" customHeight="false" outlineLevel="0" collapsed="false">
      <c r="A107" s="10" t="s">
        <v>150</v>
      </c>
      <c r="B107" s="11" t="n">
        <v>45439</v>
      </c>
      <c r="C107" s="10" t="s">
        <v>41</v>
      </c>
      <c r="D107" s="10" t="s">
        <v>42</v>
      </c>
      <c r="E107" s="10" t="s">
        <v>33</v>
      </c>
      <c r="F107" s="10" t="s">
        <v>34</v>
      </c>
      <c r="G107" s="10" t="n">
        <v>3</v>
      </c>
      <c r="H107" s="12" t="n">
        <v>45</v>
      </c>
      <c r="I107" s="12" t="n">
        <v>20</v>
      </c>
      <c r="J107" s="13" t="n">
        <f aca="false">G107*H107</f>
        <v>135</v>
      </c>
      <c r="K107" s="13" t="n">
        <f aca="false">J107-G107*I107</f>
        <v>75</v>
      </c>
    </row>
    <row r="108" customFormat="false" ht="15" hidden="false" customHeight="false" outlineLevel="0" collapsed="false">
      <c r="A108" s="10" t="s">
        <v>151</v>
      </c>
      <c r="B108" s="11" t="n">
        <v>45440</v>
      </c>
      <c r="C108" s="10" t="s">
        <v>101</v>
      </c>
      <c r="D108" s="10" t="s">
        <v>68</v>
      </c>
      <c r="E108" s="10" t="s">
        <v>38</v>
      </c>
      <c r="F108" s="10" t="s">
        <v>34</v>
      </c>
      <c r="G108" s="10" t="n">
        <v>1</v>
      </c>
      <c r="H108" s="12" t="n">
        <v>4200</v>
      </c>
      <c r="I108" s="12" t="n">
        <v>3300</v>
      </c>
      <c r="J108" s="13" t="n">
        <f aca="false">G108*H108</f>
        <v>4200</v>
      </c>
      <c r="K108" s="13" t="n">
        <f aca="false">J108-G108*I108</f>
        <v>900</v>
      </c>
    </row>
    <row r="109" customFormat="false" ht="15" hidden="false" customHeight="false" outlineLevel="0" collapsed="false">
      <c r="A109" s="10" t="s">
        <v>152</v>
      </c>
      <c r="B109" s="11" t="n">
        <v>45441</v>
      </c>
      <c r="C109" s="10" t="s">
        <v>49</v>
      </c>
      <c r="D109" s="10" t="s">
        <v>24</v>
      </c>
      <c r="E109" s="10" t="s">
        <v>30</v>
      </c>
      <c r="F109" s="10" t="s">
        <v>26</v>
      </c>
      <c r="G109" s="10" t="n">
        <v>2</v>
      </c>
      <c r="H109" s="12" t="n">
        <v>250</v>
      </c>
      <c r="I109" s="12" t="n">
        <v>170</v>
      </c>
      <c r="J109" s="13" t="n">
        <f aca="false">G109*H109</f>
        <v>500</v>
      </c>
      <c r="K109" s="13" t="n">
        <f aca="false">J109-G109*I109</f>
        <v>160</v>
      </c>
    </row>
    <row r="110" customFormat="false" ht="15" hidden="false" customHeight="false" outlineLevel="0" collapsed="false">
      <c r="A110" s="10" t="s">
        <v>153</v>
      </c>
      <c r="B110" s="11" t="n">
        <v>45442</v>
      </c>
      <c r="C110" s="10" t="s">
        <v>41</v>
      </c>
      <c r="D110" s="10" t="s">
        <v>42</v>
      </c>
      <c r="E110" s="10" t="s">
        <v>30</v>
      </c>
      <c r="F110" s="10" t="s">
        <v>26</v>
      </c>
      <c r="G110" s="10" t="n">
        <v>2</v>
      </c>
      <c r="H110" s="12" t="n">
        <v>45</v>
      </c>
      <c r="I110" s="12" t="n">
        <v>20</v>
      </c>
      <c r="J110" s="13" t="n">
        <f aca="false">G110*H110</f>
        <v>90</v>
      </c>
      <c r="K110" s="13" t="n">
        <f aca="false">J110-G110*I110</f>
        <v>50</v>
      </c>
    </row>
    <row r="111" customFormat="false" ht="15" hidden="false" customHeight="false" outlineLevel="0" collapsed="false">
      <c r="A111" s="10" t="s">
        <v>154</v>
      </c>
      <c r="B111" s="11" t="n">
        <v>45446</v>
      </c>
      <c r="C111" s="10" t="s">
        <v>28</v>
      </c>
      <c r="D111" s="10" t="s">
        <v>29</v>
      </c>
      <c r="E111" s="10" t="s">
        <v>57</v>
      </c>
      <c r="F111" s="10" t="s">
        <v>34</v>
      </c>
      <c r="G111" s="10" t="n">
        <v>3</v>
      </c>
      <c r="H111" s="12" t="n">
        <v>450</v>
      </c>
      <c r="I111" s="12" t="n">
        <v>280</v>
      </c>
      <c r="J111" s="13" t="n">
        <f aca="false">G111*H111</f>
        <v>1350</v>
      </c>
      <c r="K111" s="13" t="n">
        <f aca="false">J111-G111*I111</f>
        <v>510</v>
      </c>
    </row>
    <row r="112" customFormat="false" ht="15" hidden="false" customHeight="false" outlineLevel="0" collapsed="false">
      <c r="A112" s="10" t="s">
        <v>155</v>
      </c>
      <c r="B112" s="11" t="n">
        <v>45450</v>
      </c>
      <c r="C112" s="10" t="s">
        <v>28</v>
      </c>
      <c r="D112" s="10" t="s">
        <v>29</v>
      </c>
      <c r="E112" s="10" t="s">
        <v>38</v>
      </c>
      <c r="F112" s="10" t="s">
        <v>34</v>
      </c>
      <c r="G112" s="10" t="n">
        <v>1</v>
      </c>
      <c r="H112" s="12" t="n">
        <v>450</v>
      </c>
      <c r="I112" s="12" t="n">
        <v>280</v>
      </c>
      <c r="J112" s="13" t="n">
        <f aca="false">G112*H112</f>
        <v>450</v>
      </c>
      <c r="K112" s="13" t="n">
        <f aca="false">J112-G112*I112</f>
        <v>170</v>
      </c>
    </row>
    <row r="113" customFormat="false" ht="15" hidden="false" customHeight="false" outlineLevel="0" collapsed="false">
      <c r="A113" s="10" t="s">
        <v>156</v>
      </c>
      <c r="B113" s="11" t="n">
        <v>45452</v>
      </c>
      <c r="C113" s="10" t="s">
        <v>53</v>
      </c>
      <c r="D113" s="10" t="s">
        <v>24</v>
      </c>
      <c r="E113" s="10" t="s">
        <v>30</v>
      </c>
      <c r="F113" s="10" t="s">
        <v>26</v>
      </c>
      <c r="G113" s="10" t="n">
        <v>2</v>
      </c>
      <c r="H113" s="12" t="n">
        <v>300</v>
      </c>
      <c r="I113" s="12" t="n">
        <v>200</v>
      </c>
      <c r="J113" s="13" t="n">
        <f aca="false">G113*H113</f>
        <v>600</v>
      </c>
      <c r="K113" s="13" t="n">
        <f aca="false">J113-G113*I113</f>
        <v>200</v>
      </c>
    </row>
    <row r="114" customFormat="false" ht="15" hidden="false" customHeight="false" outlineLevel="0" collapsed="false">
      <c r="A114" s="10" t="s">
        <v>157</v>
      </c>
      <c r="B114" s="11" t="n">
        <v>45453</v>
      </c>
      <c r="C114" s="10" t="s">
        <v>28</v>
      </c>
      <c r="D114" s="10" t="s">
        <v>29</v>
      </c>
      <c r="E114" s="10" t="s">
        <v>30</v>
      </c>
      <c r="F114" s="10" t="s">
        <v>26</v>
      </c>
      <c r="G114" s="10" t="n">
        <v>4</v>
      </c>
      <c r="H114" s="12" t="n">
        <v>450</v>
      </c>
      <c r="I114" s="12" t="n">
        <v>280</v>
      </c>
      <c r="J114" s="13" t="n">
        <f aca="false">G114*H114</f>
        <v>1800</v>
      </c>
      <c r="K114" s="13" t="n">
        <f aca="false">J114-G114*I114</f>
        <v>680</v>
      </c>
    </row>
    <row r="115" customFormat="false" ht="15" hidden="false" customHeight="false" outlineLevel="0" collapsed="false">
      <c r="A115" s="10" t="s">
        <v>158</v>
      </c>
      <c r="B115" s="11" t="n">
        <v>45454</v>
      </c>
      <c r="C115" s="10" t="s">
        <v>41</v>
      </c>
      <c r="D115" s="10" t="s">
        <v>42</v>
      </c>
      <c r="E115" s="10" t="s">
        <v>30</v>
      </c>
      <c r="F115" s="10" t="s">
        <v>34</v>
      </c>
      <c r="G115" s="10" t="n">
        <v>3</v>
      </c>
      <c r="H115" s="12" t="n">
        <v>45</v>
      </c>
      <c r="I115" s="12" t="n">
        <v>20</v>
      </c>
      <c r="J115" s="13" t="n">
        <f aca="false">G115*H115</f>
        <v>135</v>
      </c>
      <c r="K115" s="13" t="n">
        <f aca="false">J115-G115*I115</f>
        <v>75</v>
      </c>
    </row>
    <row r="116" customFormat="false" ht="15" hidden="false" customHeight="false" outlineLevel="0" collapsed="false">
      <c r="A116" s="10" t="s">
        <v>159</v>
      </c>
      <c r="B116" s="11" t="n">
        <v>45454</v>
      </c>
      <c r="C116" s="10" t="s">
        <v>41</v>
      </c>
      <c r="D116" s="10" t="s">
        <v>42</v>
      </c>
      <c r="E116" s="10" t="s">
        <v>25</v>
      </c>
      <c r="F116" s="10" t="s">
        <v>26</v>
      </c>
      <c r="G116" s="10" t="n">
        <v>2</v>
      </c>
      <c r="H116" s="12" t="n">
        <v>45</v>
      </c>
      <c r="I116" s="12" t="n">
        <v>20</v>
      </c>
      <c r="J116" s="13" t="n">
        <f aca="false">G116*H116</f>
        <v>90</v>
      </c>
      <c r="K116" s="13" t="n">
        <f aca="false">J116-G116*I116</f>
        <v>50</v>
      </c>
    </row>
    <row r="117" customFormat="false" ht="15" hidden="false" customHeight="false" outlineLevel="0" collapsed="false">
      <c r="A117" s="10" t="s">
        <v>160</v>
      </c>
      <c r="B117" s="11" t="n">
        <v>45455</v>
      </c>
      <c r="C117" s="10" t="s">
        <v>36</v>
      </c>
      <c r="D117" s="10" t="s">
        <v>29</v>
      </c>
      <c r="E117" s="10" t="s">
        <v>33</v>
      </c>
      <c r="F117" s="10" t="s">
        <v>26</v>
      </c>
      <c r="G117" s="10" t="n">
        <v>2</v>
      </c>
      <c r="H117" s="12" t="n">
        <v>380</v>
      </c>
      <c r="I117" s="12" t="n">
        <v>260</v>
      </c>
      <c r="J117" s="13" t="n">
        <f aca="false">G117*H117</f>
        <v>760</v>
      </c>
      <c r="K117" s="13" t="n">
        <f aca="false">J117-G117*I117</f>
        <v>240</v>
      </c>
    </row>
    <row r="118" customFormat="false" ht="15" hidden="false" customHeight="false" outlineLevel="0" collapsed="false">
      <c r="A118" s="10" t="s">
        <v>161</v>
      </c>
      <c r="B118" s="11" t="n">
        <v>45456</v>
      </c>
      <c r="C118" s="10" t="s">
        <v>28</v>
      </c>
      <c r="D118" s="10" t="s">
        <v>29</v>
      </c>
      <c r="E118" s="10" t="s">
        <v>33</v>
      </c>
      <c r="F118" s="10" t="s">
        <v>34</v>
      </c>
      <c r="G118" s="10" t="n">
        <v>4</v>
      </c>
      <c r="H118" s="12" t="n">
        <v>450</v>
      </c>
      <c r="I118" s="12" t="n">
        <v>280</v>
      </c>
      <c r="J118" s="13" t="n">
        <f aca="false">G118*H118</f>
        <v>1800</v>
      </c>
      <c r="K118" s="13" t="n">
        <f aca="false">J118-G118*I118</f>
        <v>680</v>
      </c>
    </row>
    <row r="119" customFormat="false" ht="15" hidden="false" customHeight="false" outlineLevel="0" collapsed="false">
      <c r="A119" s="10" t="s">
        <v>162</v>
      </c>
      <c r="B119" s="11" t="n">
        <v>45463</v>
      </c>
      <c r="C119" s="10" t="s">
        <v>41</v>
      </c>
      <c r="D119" s="10" t="s">
        <v>42</v>
      </c>
      <c r="E119" s="10" t="s">
        <v>38</v>
      </c>
      <c r="F119" s="10" t="s">
        <v>26</v>
      </c>
      <c r="G119" s="10" t="n">
        <v>2</v>
      </c>
      <c r="H119" s="12" t="n">
        <v>45</v>
      </c>
      <c r="I119" s="12" t="n">
        <v>20</v>
      </c>
      <c r="J119" s="13" t="n">
        <f aca="false">G119*H119</f>
        <v>90</v>
      </c>
      <c r="K119" s="13" t="n">
        <f aca="false">J119-G119*I119</f>
        <v>50</v>
      </c>
    </row>
    <row r="120" customFormat="false" ht="15" hidden="false" customHeight="false" outlineLevel="0" collapsed="false">
      <c r="A120" s="10" t="s">
        <v>163</v>
      </c>
      <c r="B120" s="11" t="n">
        <v>45464</v>
      </c>
      <c r="C120" s="10" t="s">
        <v>28</v>
      </c>
      <c r="D120" s="10" t="s">
        <v>29</v>
      </c>
      <c r="E120" s="10" t="s">
        <v>25</v>
      </c>
      <c r="F120" s="10" t="s">
        <v>26</v>
      </c>
      <c r="G120" s="10" t="n">
        <v>3</v>
      </c>
      <c r="H120" s="12" t="n">
        <v>450</v>
      </c>
      <c r="I120" s="12" t="n">
        <v>280</v>
      </c>
      <c r="J120" s="13" t="n">
        <f aca="false">G120*H120</f>
        <v>1350</v>
      </c>
      <c r="K120" s="13" t="n">
        <f aca="false">J120-G120*I120</f>
        <v>510</v>
      </c>
    </row>
    <row r="121" customFormat="false" ht="15" hidden="false" customHeight="false" outlineLevel="0" collapsed="false">
      <c r="A121" s="10" t="s">
        <v>164</v>
      </c>
      <c r="B121" s="11" t="n">
        <v>45466</v>
      </c>
      <c r="C121" s="10" t="s">
        <v>55</v>
      </c>
      <c r="D121" s="10" t="s">
        <v>24</v>
      </c>
      <c r="E121" s="10" t="s">
        <v>57</v>
      </c>
      <c r="F121" s="10" t="s">
        <v>26</v>
      </c>
      <c r="G121" s="10" t="n">
        <v>4</v>
      </c>
      <c r="H121" s="12" t="n">
        <v>280</v>
      </c>
      <c r="I121" s="12" t="n">
        <v>190</v>
      </c>
      <c r="J121" s="13" t="n">
        <f aca="false">G121*H121</f>
        <v>1120</v>
      </c>
      <c r="K121" s="13" t="n">
        <f aca="false">J121-G121*I121</f>
        <v>360</v>
      </c>
    </row>
    <row r="122" customFormat="false" ht="15" hidden="false" customHeight="false" outlineLevel="0" collapsed="false">
      <c r="A122" s="10" t="s">
        <v>165</v>
      </c>
      <c r="B122" s="11" t="n">
        <v>45467</v>
      </c>
      <c r="C122" s="10" t="s">
        <v>23</v>
      </c>
      <c r="D122" s="10" t="s">
        <v>24</v>
      </c>
      <c r="E122" s="10" t="s">
        <v>33</v>
      </c>
      <c r="F122" s="10" t="s">
        <v>26</v>
      </c>
      <c r="G122" s="10" t="n">
        <v>1</v>
      </c>
      <c r="H122" s="12" t="n">
        <v>260</v>
      </c>
      <c r="I122" s="12" t="n">
        <v>180</v>
      </c>
      <c r="J122" s="13" t="n">
        <f aca="false">G122*H122</f>
        <v>260</v>
      </c>
      <c r="K122" s="13" t="n">
        <f aca="false">J122-G122*I122</f>
        <v>80</v>
      </c>
    </row>
    <row r="123" customFormat="false" ht="15" hidden="false" customHeight="false" outlineLevel="0" collapsed="false">
      <c r="A123" s="10" t="s">
        <v>166</v>
      </c>
      <c r="B123" s="11" t="n">
        <v>45469</v>
      </c>
      <c r="C123" s="10" t="s">
        <v>28</v>
      </c>
      <c r="D123" s="10" t="s">
        <v>29</v>
      </c>
      <c r="E123" s="10" t="s">
        <v>38</v>
      </c>
      <c r="F123" s="10" t="s">
        <v>26</v>
      </c>
      <c r="G123" s="10" t="n">
        <v>3</v>
      </c>
      <c r="H123" s="12" t="n">
        <v>450</v>
      </c>
      <c r="I123" s="12" t="n">
        <v>280</v>
      </c>
      <c r="J123" s="13" t="n">
        <f aca="false">G123*H123</f>
        <v>1350</v>
      </c>
      <c r="K123" s="13" t="n">
        <f aca="false">J123-G123*I123</f>
        <v>510</v>
      </c>
    </row>
    <row r="124" customFormat="false" ht="15" hidden="false" customHeight="false" outlineLevel="0" collapsed="false">
      <c r="A124" s="10" t="s">
        <v>167</v>
      </c>
      <c r="B124" s="11" t="n">
        <v>45470</v>
      </c>
      <c r="C124" s="10" t="s">
        <v>49</v>
      </c>
      <c r="D124" s="10" t="s">
        <v>24</v>
      </c>
      <c r="E124" s="10" t="s">
        <v>25</v>
      </c>
      <c r="F124" s="10" t="s">
        <v>34</v>
      </c>
      <c r="G124" s="10" t="n">
        <v>4</v>
      </c>
      <c r="H124" s="12" t="n">
        <v>250</v>
      </c>
      <c r="I124" s="12" t="n">
        <v>170</v>
      </c>
      <c r="J124" s="13" t="n">
        <f aca="false">G124*H124</f>
        <v>1000</v>
      </c>
      <c r="K124" s="13" t="n">
        <f aca="false">J124-G124*I124</f>
        <v>320</v>
      </c>
    </row>
    <row r="125" customFormat="false" ht="15" hidden="false" customHeight="false" outlineLevel="0" collapsed="false">
      <c r="A125" s="10" t="s">
        <v>168</v>
      </c>
      <c r="B125" s="11" t="n">
        <v>45473</v>
      </c>
      <c r="C125" s="10" t="s">
        <v>41</v>
      </c>
      <c r="D125" s="10" t="s">
        <v>42</v>
      </c>
      <c r="E125" s="10" t="s">
        <v>38</v>
      </c>
      <c r="F125" s="10" t="s">
        <v>26</v>
      </c>
      <c r="G125" s="10" t="n">
        <v>2</v>
      </c>
      <c r="H125" s="12" t="n">
        <v>45</v>
      </c>
      <c r="I125" s="12" t="n">
        <v>20</v>
      </c>
      <c r="J125" s="13" t="n">
        <f aca="false">G125*H125</f>
        <v>90</v>
      </c>
      <c r="K125" s="13" t="n">
        <f aca="false">J125-G125*I125</f>
        <v>50</v>
      </c>
    </row>
    <row r="126" customFormat="false" ht="15" hidden="false" customHeight="false" outlineLevel="0" collapsed="false">
      <c r="A126" s="10" t="s">
        <v>169</v>
      </c>
      <c r="B126" s="11" t="n">
        <v>45474</v>
      </c>
      <c r="C126" s="10" t="s">
        <v>28</v>
      </c>
      <c r="D126" s="10" t="s">
        <v>29</v>
      </c>
      <c r="E126" s="10" t="s">
        <v>38</v>
      </c>
      <c r="F126" s="10" t="s">
        <v>34</v>
      </c>
      <c r="G126" s="10" t="n">
        <v>2</v>
      </c>
      <c r="H126" s="12" t="n">
        <v>450</v>
      </c>
      <c r="I126" s="12" t="n">
        <v>280</v>
      </c>
      <c r="J126" s="13" t="n">
        <f aca="false">G126*H126</f>
        <v>900</v>
      </c>
      <c r="K126" s="13" t="n">
        <f aca="false">J126-G126*I126</f>
        <v>340</v>
      </c>
    </row>
    <row r="127" customFormat="false" ht="15" hidden="false" customHeight="false" outlineLevel="0" collapsed="false">
      <c r="A127" s="10" t="s">
        <v>170</v>
      </c>
      <c r="B127" s="11" t="n">
        <v>45475</v>
      </c>
      <c r="C127" s="10" t="s">
        <v>23</v>
      </c>
      <c r="D127" s="10" t="s">
        <v>24</v>
      </c>
      <c r="E127" s="10" t="s">
        <v>38</v>
      </c>
      <c r="F127" s="10" t="s">
        <v>26</v>
      </c>
      <c r="G127" s="10" t="n">
        <v>2</v>
      </c>
      <c r="H127" s="12" t="n">
        <v>260</v>
      </c>
      <c r="I127" s="12" t="n">
        <v>180</v>
      </c>
      <c r="J127" s="13" t="n">
        <f aca="false">G127*H127</f>
        <v>520</v>
      </c>
      <c r="K127" s="13" t="n">
        <f aca="false">J127-G127*I127</f>
        <v>160</v>
      </c>
    </row>
    <row r="128" customFormat="false" ht="15" hidden="false" customHeight="false" outlineLevel="0" collapsed="false">
      <c r="A128" s="10" t="s">
        <v>171</v>
      </c>
      <c r="B128" s="11" t="n">
        <v>45475</v>
      </c>
      <c r="C128" s="10" t="s">
        <v>55</v>
      </c>
      <c r="D128" s="10" t="s">
        <v>24</v>
      </c>
      <c r="E128" s="10" t="s">
        <v>38</v>
      </c>
      <c r="F128" s="10" t="s">
        <v>34</v>
      </c>
      <c r="G128" s="10" t="n">
        <v>2</v>
      </c>
      <c r="H128" s="12" t="n">
        <v>280</v>
      </c>
      <c r="I128" s="12" t="n">
        <v>190</v>
      </c>
      <c r="J128" s="13" t="n">
        <f aca="false">G128*H128</f>
        <v>560</v>
      </c>
      <c r="K128" s="13" t="n">
        <f aca="false">J128-G128*I128</f>
        <v>180</v>
      </c>
    </row>
    <row r="129" customFormat="false" ht="15" hidden="false" customHeight="false" outlineLevel="0" collapsed="false">
      <c r="A129" s="10" t="s">
        <v>172</v>
      </c>
      <c r="B129" s="11" t="n">
        <v>45476</v>
      </c>
      <c r="C129" s="10" t="s">
        <v>53</v>
      </c>
      <c r="D129" s="10" t="s">
        <v>24</v>
      </c>
      <c r="E129" s="10" t="s">
        <v>57</v>
      </c>
      <c r="F129" s="10" t="s">
        <v>26</v>
      </c>
      <c r="G129" s="10" t="n">
        <v>4</v>
      </c>
      <c r="H129" s="12" t="n">
        <v>300</v>
      </c>
      <c r="I129" s="12" t="n">
        <v>200</v>
      </c>
      <c r="J129" s="13" t="n">
        <f aca="false">G129*H129</f>
        <v>1200</v>
      </c>
      <c r="K129" s="13" t="n">
        <f aca="false">J129-G129*I129</f>
        <v>400</v>
      </c>
    </row>
    <row r="130" customFormat="false" ht="15" hidden="false" customHeight="false" outlineLevel="0" collapsed="false">
      <c r="A130" s="10" t="s">
        <v>173</v>
      </c>
      <c r="B130" s="11" t="n">
        <v>45477</v>
      </c>
      <c r="C130" s="10" t="s">
        <v>41</v>
      </c>
      <c r="D130" s="10" t="s">
        <v>42</v>
      </c>
      <c r="E130" s="10" t="s">
        <v>38</v>
      </c>
      <c r="F130" s="10" t="s">
        <v>26</v>
      </c>
      <c r="G130" s="10" t="n">
        <v>1</v>
      </c>
      <c r="H130" s="12" t="n">
        <v>45</v>
      </c>
      <c r="I130" s="12" t="n">
        <v>20</v>
      </c>
      <c r="J130" s="13" t="n">
        <f aca="false">G130*H130</f>
        <v>45</v>
      </c>
      <c r="K130" s="13" t="n">
        <f aca="false">J130-G130*I130</f>
        <v>25</v>
      </c>
    </row>
    <row r="131" customFormat="false" ht="15" hidden="false" customHeight="false" outlineLevel="0" collapsed="false">
      <c r="A131" s="10" t="s">
        <v>174</v>
      </c>
      <c r="B131" s="11" t="n">
        <v>45478</v>
      </c>
      <c r="C131" s="10" t="s">
        <v>55</v>
      </c>
      <c r="D131" s="10" t="s">
        <v>24</v>
      </c>
      <c r="E131" s="10" t="s">
        <v>30</v>
      </c>
      <c r="F131" s="10" t="s">
        <v>34</v>
      </c>
      <c r="G131" s="10" t="n">
        <v>3</v>
      </c>
      <c r="H131" s="12" t="n">
        <v>280</v>
      </c>
      <c r="I131" s="12" t="n">
        <v>190</v>
      </c>
      <c r="J131" s="13" t="n">
        <f aca="false">G131*H131</f>
        <v>840</v>
      </c>
      <c r="K131" s="13" t="n">
        <f aca="false">J131-G131*I131</f>
        <v>270</v>
      </c>
    </row>
    <row r="132" customFormat="false" ht="15" hidden="false" customHeight="false" outlineLevel="0" collapsed="false">
      <c r="A132" s="10" t="s">
        <v>175</v>
      </c>
      <c r="B132" s="11" t="n">
        <v>45486</v>
      </c>
      <c r="C132" s="10" t="s">
        <v>49</v>
      </c>
      <c r="D132" s="10" t="s">
        <v>24</v>
      </c>
      <c r="E132" s="10" t="s">
        <v>30</v>
      </c>
      <c r="F132" s="10" t="s">
        <v>34</v>
      </c>
      <c r="G132" s="10" t="n">
        <v>1</v>
      </c>
      <c r="H132" s="12" t="n">
        <v>250</v>
      </c>
      <c r="I132" s="12" t="n">
        <v>170</v>
      </c>
      <c r="J132" s="13" t="n">
        <f aca="false">G132*H132</f>
        <v>250</v>
      </c>
      <c r="K132" s="13" t="n">
        <f aca="false">J132-G132*I132</f>
        <v>80</v>
      </c>
    </row>
    <row r="133" customFormat="false" ht="15" hidden="false" customHeight="false" outlineLevel="0" collapsed="false">
      <c r="A133" s="10" t="s">
        <v>176</v>
      </c>
      <c r="B133" s="11" t="n">
        <v>45491</v>
      </c>
      <c r="C133" s="10" t="s">
        <v>67</v>
      </c>
      <c r="D133" s="10" t="s">
        <v>68</v>
      </c>
      <c r="E133" s="10" t="s">
        <v>33</v>
      </c>
      <c r="F133" s="10" t="s">
        <v>34</v>
      </c>
      <c r="G133" s="10" t="n">
        <v>1</v>
      </c>
      <c r="H133" s="12" t="n">
        <v>2600</v>
      </c>
      <c r="I133" s="12" t="n">
        <v>2100</v>
      </c>
      <c r="J133" s="13" t="n">
        <f aca="false">G133*H133</f>
        <v>2600</v>
      </c>
      <c r="K133" s="13" t="n">
        <f aca="false">J133-G133*I133</f>
        <v>500</v>
      </c>
    </row>
    <row r="134" customFormat="false" ht="15" hidden="false" customHeight="false" outlineLevel="0" collapsed="false">
      <c r="A134" s="10" t="s">
        <v>177</v>
      </c>
      <c r="B134" s="11" t="n">
        <v>45492</v>
      </c>
      <c r="C134" s="10" t="s">
        <v>36</v>
      </c>
      <c r="D134" s="10" t="s">
        <v>29</v>
      </c>
      <c r="E134" s="10" t="s">
        <v>33</v>
      </c>
      <c r="F134" s="10" t="s">
        <v>34</v>
      </c>
      <c r="G134" s="10" t="n">
        <v>2</v>
      </c>
      <c r="H134" s="12" t="n">
        <v>380</v>
      </c>
      <c r="I134" s="12" t="n">
        <v>260</v>
      </c>
      <c r="J134" s="13" t="n">
        <f aca="false">G134*H134</f>
        <v>760</v>
      </c>
      <c r="K134" s="13" t="n">
        <f aca="false">J134-G134*I134</f>
        <v>240</v>
      </c>
    </row>
    <row r="135" customFormat="false" ht="15" hidden="false" customHeight="false" outlineLevel="0" collapsed="false">
      <c r="A135" s="10" t="s">
        <v>178</v>
      </c>
      <c r="B135" s="11" t="n">
        <v>45493</v>
      </c>
      <c r="C135" s="10" t="s">
        <v>84</v>
      </c>
      <c r="D135" s="10" t="s">
        <v>42</v>
      </c>
      <c r="E135" s="10" t="s">
        <v>33</v>
      </c>
      <c r="F135" s="10" t="s">
        <v>34</v>
      </c>
      <c r="G135" s="10" t="n">
        <v>4</v>
      </c>
      <c r="H135" s="12" t="n">
        <v>480</v>
      </c>
      <c r="I135" s="12" t="n">
        <v>220</v>
      </c>
      <c r="J135" s="13" t="n">
        <f aca="false">G135*H135</f>
        <v>1920</v>
      </c>
      <c r="K135" s="13" t="n">
        <f aca="false">J135-G135*I135</f>
        <v>1040</v>
      </c>
    </row>
    <row r="136" customFormat="false" ht="15" hidden="false" customHeight="false" outlineLevel="0" collapsed="false">
      <c r="A136" s="10" t="s">
        <v>179</v>
      </c>
      <c r="B136" s="11" t="n">
        <v>45494</v>
      </c>
      <c r="C136" s="10" t="s">
        <v>55</v>
      </c>
      <c r="D136" s="10" t="s">
        <v>24</v>
      </c>
      <c r="E136" s="10" t="s">
        <v>38</v>
      </c>
      <c r="F136" s="10" t="s">
        <v>34</v>
      </c>
      <c r="G136" s="10" t="n">
        <v>3</v>
      </c>
      <c r="H136" s="12" t="n">
        <v>280</v>
      </c>
      <c r="I136" s="12" t="n">
        <v>190</v>
      </c>
      <c r="J136" s="13" t="n">
        <f aca="false">G136*H136</f>
        <v>840</v>
      </c>
      <c r="K136" s="13" t="n">
        <f aca="false">J136-G136*I136</f>
        <v>270</v>
      </c>
    </row>
    <row r="137" customFormat="false" ht="15" hidden="false" customHeight="false" outlineLevel="0" collapsed="false">
      <c r="A137" s="10" t="s">
        <v>180</v>
      </c>
      <c r="B137" s="11" t="n">
        <v>45495</v>
      </c>
      <c r="C137" s="10" t="s">
        <v>32</v>
      </c>
      <c r="D137" s="10" t="s">
        <v>29</v>
      </c>
      <c r="E137" s="10" t="s">
        <v>30</v>
      </c>
      <c r="F137" s="10" t="s">
        <v>34</v>
      </c>
      <c r="G137" s="10" t="n">
        <v>3</v>
      </c>
      <c r="H137" s="12" t="n">
        <v>520</v>
      </c>
      <c r="I137" s="12" t="n">
        <v>300</v>
      </c>
      <c r="J137" s="13" t="n">
        <f aca="false">G137*H137</f>
        <v>1560</v>
      </c>
      <c r="K137" s="13" t="n">
        <f aca="false">J137-G137*I137</f>
        <v>660</v>
      </c>
    </row>
    <row r="138" customFormat="false" ht="15" hidden="false" customHeight="false" outlineLevel="0" collapsed="false">
      <c r="A138" s="10" t="s">
        <v>181</v>
      </c>
      <c r="B138" s="11" t="n">
        <v>45498</v>
      </c>
      <c r="C138" s="10" t="s">
        <v>41</v>
      </c>
      <c r="D138" s="10" t="s">
        <v>42</v>
      </c>
      <c r="E138" s="10" t="s">
        <v>30</v>
      </c>
      <c r="F138" s="10" t="s">
        <v>26</v>
      </c>
      <c r="G138" s="10" t="n">
        <v>4</v>
      </c>
      <c r="H138" s="12" t="n">
        <v>45</v>
      </c>
      <c r="I138" s="12" t="n">
        <v>20</v>
      </c>
      <c r="J138" s="13" t="n">
        <f aca="false">G138*H138</f>
        <v>180</v>
      </c>
      <c r="K138" s="13" t="n">
        <f aca="false">J138-G138*I138</f>
        <v>100</v>
      </c>
    </row>
    <row r="139" customFormat="false" ht="15" hidden="false" customHeight="false" outlineLevel="0" collapsed="false">
      <c r="A139" s="10" t="s">
        <v>182</v>
      </c>
      <c r="B139" s="11" t="n">
        <v>45499</v>
      </c>
      <c r="C139" s="10" t="s">
        <v>32</v>
      </c>
      <c r="D139" s="10" t="s">
        <v>29</v>
      </c>
      <c r="E139" s="10" t="s">
        <v>30</v>
      </c>
      <c r="F139" s="10" t="s">
        <v>26</v>
      </c>
      <c r="G139" s="10" t="n">
        <v>1</v>
      </c>
      <c r="H139" s="12" t="n">
        <v>520</v>
      </c>
      <c r="I139" s="12" t="n">
        <v>300</v>
      </c>
      <c r="J139" s="13" t="n">
        <f aca="false">G139*H139</f>
        <v>520</v>
      </c>
      <c r="K139" s="13" t="n">
        <f aca="false">J139-G139*I139</f>
        <v>220</v>
      </c>
    </row>
    <row r="140" customFormat="false" ht="15" hidden="false" customHeight="false" outlineLevel="0" collapsed="false">
      <c r="A140" s="10" t="s">
        <v>183</v>
      </c>
      <c r="B140" s="11" t="n">
        <v>45503</v>
      </c>
      <c r="C140" s="10" t="s">
        <v>36</v>
      </c>
      <c r="D140" s="10" t="s">
        <v>29</v>
      </c>
      <c r="E140" s="10" t="s">
        <v>38</v>
      </c>
      <c r="F140" s="10" t="s">
        <v>34</v>
      </c>
      <c r="G140" s="10" t="n">
        <v>2</v>
      </c>
      <c r="H140" s="12" t="n">
        <v>380</v>
      </c>
      <c r="I140" s="12" t="n">
        <v>260</v>
      </c>
      <c r="J140" s="13" t="n">
        <f aca="false">G140*H140</f>
        <v>760</v>
      </c>
      <c r="K140" s="13" t="n">
        <f aca="false">J140-G140*I140</f>
        <v>240</v>
      </c>
    </row>
    <row r="141" customFormat="false" ht="15" hidden="false" customHeight="false" outlineLevel="0" collapsed="false">
      <c r="A141" s="10" t="s">
        <v>184</v>
      </c>
      <c r="B141" s="11" t="n">
        <v>45504</v>
      </c>
      <c r="C141" s="10" t="s">
        <v>49</v>
      </c>
      <c r="D141" s="10" t="s">
        <v>24</v>
      </c>
      <c r="E141" s="10" t="s">
        <v>38</v>
      </c>
      <c r="F141" s="10" t="s">
        <v>26</v>
      </c>
      <c r="G141" s="10" t="n">
        <v>2</v>
      </c>
      <c r="H141" s="12" t="n">
        <v>250</v>
      </c>
      <c r="I141" s="12" t="n">
        <v>170</v>
      </c>
      <c r="J141" s="13" t="n">
        <f aca="false">G141*H141</f>
        <v>500</v>
      </c>
      <c r="K141" s="13" t="n">
        <f aca="false">J141-G141*I141</f>
        <v>160</v>
      </c>
    </row>
    <row r="142" customFormat="false" ht="15" hidden="false" customHeight="false" outlineLevel="0" collapsed="false">
      <c r="A142" s="10" t="s">
        <v>185</v>
      </c>
      <c r="B142" s="11" t="n">
        <v>45506</v>
      </c>
      <c r="C142" s="10" t="s">
        <v>28</v>
      </c>
      <c r="D142" s="10" t="s">
        <v>29</v>
      </c>
      <c r="E142" s="10" t="s">
        <v>33</v>
      </c>
      <c r="F142" s="10" t="s">
        <v>34</v>
      </c>
      <c r="G142" s="10" t="n">
        <v>4</v>
      </c>
      <c r="H142" s="12" t="n">
        <v>450</v>
      </c>
      <c r="I142" s="12" t="n">
        <v>280</v>
      </c>
      <c r="J142" s="13" t="n">
        <f aca="false">G142*H142</f>
        <v>1800</v>
      </c>
      <c r="K142" s="13" t="n">
        <f aca="false">J142-G142*I142</f>
        <v>680</v>
      </c>
    </row>
    <row r="143" customFormat="false" ht="15" hidden="false" customHeight="false" outlineLevel="0" collapsed="false">
      <c r="A143" s="10" t="s">
        <v>186</v>
      </c>
      <c r="B143" s="11" t="n">
        <v>45507</v>
      </c>
      <c r="C143" s="10" t="s">
        <v>41</v>
      </c>
      <c r="D143" s="10" t="s">
        <v>42</v>
      </c>
      <c r="E143" s="10" t="s">
        <v>30</v>
      </c>
      <c r="F143" s="10" t="s">
        <v>26</v>
      </c>
      <c r="G143" s="10" t="n">
        <v>4</v>
      </c>
      <c r="H143" s="12" t="n">
        <v>45</v>
      </c>
      <c r="I143" s="12" t="n">
        <v>20</v>
      </c>
      <c r="J143" s="13" t="n">
        <f aca="false">G143*H143</f>
        <v>180</v>
      </c>
      <c r="K143" s="13" t="n">
        <f aca="false">J143-G143*I143</f>
        <v>100</v>
      </c>
    </row>
    <row r="144" customFormat="false" ht="15" hidden="false" customHeight="false" outlineLevel="0" collapsed="false">
      <c r="A144" s="10" t="s">
        <v>187</v>
      </c>
      <c r="B144" s="11" t="n">
        <v>45508</v>
      </c>
      <c r="C144" s="10" t="s">
        <v>49</v>
      </c>
      <c r="D144" s="10" t="s">
        <v>24</v>
      </c>
      <c r="E144" s="10" t="s">
        <v>33</v>
      </c>
      <c r="F144" s="10" t="s">
        <v>26</v>
      </c>
      <c r="G144" s="10" t="n">
        <v>2</v>
      </c>
      <c r="H144" s="12" t="n">
        <v>250</v>
      </c>
      <c r="I144" s="12" t="n">
        <v>170</v>
      </c>
      <c r="J144" s="13" t="n">
        <f aca="false">G144*H144</f>
        <v>500</v>
      </c>
      <c r="K144" s="13" t="n">
        <f aca="false">J144-G144*I144</f>
        <v>160</v>
      </c>
    </row>
    <row r="145" customFormat="false" ht="15" hidden="false" customHeight="false" outlineLevel="0" collapsed="false">
      <c r="A145" s="10" t="s">
        <v>188</v>
      </c>
      <c r="B145" s="11" t="n">
        <v>45510</v>
      </c>
      <c r="C145" s="10" t="s">
        <v>32</v>
      </c>
      <c r="D145" s="10" t="s">
        <v>29</v>
      </c>
      <c r="E145" s="10" t="s">
        <v>38</v>
      </c>
      <c r="F145" s="10" t="s">
        <v>26</v>
      </c>
      <c r="G145" s="10" t="n">
        <v>4</v>
      </c>
      <c r="H145" s="12" t="n">
        <v>520</v>
      </c>
      <c r="I145" s="12" t="n">
        <v>300</v>
      </c>
      <c r="J145" s="13" t="n">
        <f aca="false">G145*H145</f>
        <v>2080</v>
      </c>
      <c r="K145" s="13" t="n">
        <f aca="false">J145-G145*I145</f>
        <v>880</v>
      </c>
    </row>
    <row r="146" customFormat="false" ht="15" hidden="false" customHeight="false" outlineLevel="0" collapsed="false">
      <c r="A146" s="10" t="s">
        <v>189</v>
      </c>
      <c r="B146" s="11" t="n">
        <v>45512</v>
      </c>
      <c r="C146" s="10" t="s">
        <v>101</v>
      </c>
      <c r="D146" s="10" t="s">
        <v>68</v>
      </c>
      <c r="E146" s="10" t="s">
        <v>25</v>
      </c>
      <c r="F146" s="10" t="s">
        <v>26</v>
      </c>
      <c r="G146" s="10" t="n">
        <v>2</v>
      </c>
      <c r="H146" s="12" t="n">
        <v>4200</v>
      </c>
      <c r="I146" s="12" t="n">
        <v>3300</v>
      </c>
      <c r="J146" s="13" t="n">
        <f aca="false">G146*H146</f>
        <v>8400</v>
      </c>
      <c r="K146" s="13" t="n">
        <f aca="false">J146-G146*I146</f>
        <v>1800</v>
      </c>
    </row>
    <row r="147" customFormat="false" ht="15" hidden="false" customHeight="false" outlineLevel="0" collapsed="false">
      <c r="A147" s="10" t="s">
        <v>190</v>
      </c>
      <c r="B147" s="11" t="n">
        <v>45513</v>
      </c>
      <c r="C147" s="10" t="s">
        <v>49</v>
      </c>
      <c r="D147" s="10" t="s">
        <v>24</v>
      </c>
      <c r="E147" s="10" t="s">
        <v>38</v>
      </c>
      <c r="F147" s="10" t="s">
        <v>34</v>
      </c>
      <c r="G147" s="10" t="n">
        <v>2</v>
      </c>
      <c r="H147" s="12" t="n">
        <v>250</v>
      </c>
      <c r="I147" s="12" t="n">
        <v>170</v>
      </c>
      <c r="J147" s="13" t="n">
        <f aca="false">G147*H147</f>
        <v>500</v>
      </c>
      <c r="K147" s="13" t="n">
        <f aca="false">J147-G147*I147</f>
        <v>160</v>
      </c>
    </row>
    <row r="148" customFormat="false" ht="15" hidden="false" customHeight="false" outlineLevel="0" collapsed="false">
      <c r="A148" s="10" t="s">
        <v>191</v>
      </c>
      <c r="B148" s="11" t="n">
        <v>45514</v>
      </c>
      <c r="C148" s="10" t="s">
        <v>55</v>
      </c>
      <c r="D148" s="10" t="s">
        <v>24</v>
      </c>
      <c r="E148" s="10" t="s">
        <v>25</v>
      </c>
      <c r="F148" s="10" t="s">
        <v>26</v>
      </c>
      <c r="G148" s="10" t="n">
        <v>4</v>
      </c>
      <c r="H148" s="12" t="n">
        <v>280</v>
      </c>
      <c r="I148" s="12" t="n">
        <v>190</v>
      </c>
      <c r="J148" s="13" t="n">
        <f aca="false">G148*H148</f>
        <v>1120</v>
      </c>
      <c r="K148" s="13" t="n">
        <f aca="false">J148-G148*I148</f>
        <v>360</v>
      </c>
    </row>
    <row r="149" customFormat="false" ht="15" hidden="false" customHeight="false" outlineLevel="0" collapsed="false">
      <c r="A149" s="10" t="s">
        <v>192</v>
      </c>
      <c r="B149" s="11" t="n">
        <v>45517</v>
      </c>
      <c r="C149" s="10" t="s">
        <v>55</v>
      </c>
      <c r="D149" s="10" t="s">
        <v>24</v>
      </c>
      <c r="E149" s="10" t="s">
        <v>38</v>
      </c>
      <c r="F149" s="10" t="s">
        <v>26</v>
      </c>
      <c r="G149" s="10" t="n">
        <v>3</v>
      </c>
      <c r="H149" s="12" t="n">
        <v>280</v>
      </c>
      <c r="I149" s="12" t="n">
        <v>190</v>
      </c>
      <c r="J149" s="13" t="n">
        <f aca="false">G149*H149</f>
        <v>840</v>
      </c>
      <c r="K149" s="13" t="n">
        <f aca="false">J149-G149*I149</f>
        <v>270</v>
      </c>
    </row>
    <row r="150" customFormat="false" ht="15" hidden="false" customHeight="false" outlineLevel="0" collapsed="false">
      <c r="A150" s="10" t="s">
        <v>193</v>
      </c>
      <c r="B150" s="11" t="n">
        <v>45518</v>
      </c>
      <c r="C150" s="10" t="s">
        <v>55</v>
      </c>
      <c r="D150" s="10" t="s">
        <v>24</v>
      </c>
      <c r="E150" s="10" t="s">
        <v>38</v>
      </c>
      <c r="F150" s="10" t="s">
        <v>34</v>
      </c>
      <c r="G150" s="10" t="n">
        <v>3</v>
      </c>
      <c r="H150" s="12" t="n">
        <v>280</v>
      </c>
      <c r="I150" s="12" t="n">
        <v>190</v>
      </c>
      <c r="J150" s="13" t="n">
        <f aca="false">G150*H150</f>
        <v>840</v>
      </c>
      <c r="K150" s="13" t="n">
        <f aca="false">J150-G150*I150</f>
        <v>270</v>
      </c>
    </row>
    <row r="151" customFormat="false" ht="15" hidden="false" customHeight="false" outlineLevel="0" collapsed="false">
      <c r="A151" s="10" t="s">
        <v>194</v>
      </c>
      <c r="B151" s="11" t="n">
        <v>45521</v>
      </c>
      <c r="C151" s="10" t="s">
        <v>41</v>
      </c>
      <c r="D151" s="10" t="s">
        <v>42</v>
      </c>
      <c r="E151" s="10" t="s">
        <v>38</v>
      </c>
      <c r="F151" s="10" t="s">
        <v>34</v>
      </c>
      <c r="G151" s="10" t="n">
        <v>2</v>
      </c>
      <c r="H151" s="12" t="n">
        <v>45</v>
      </c>
      <c r="I151" s="12" t="n">
        <v>20</v>
      </c>
      <c r="J151" s="13" t="n">
        <f aca="false">G151*H151</f>
        <v>90</v>
      </c>
      <c r="K151" s="13" t="n">
        <f aca="false">J151-G151*I151</f>
        <v>50</v>
      </c>
    </row>
    <row r="152" customFormat="false" ht="15" hidden="false" customHeight="false" outlineLevel="0" collapsed="false">
      <c r="A152" s="10" t="s">
        <v>195</v>
      </c>
      <c r="B152" s="11" t="n">
        <v>45521</v>
      </c>
      <c r="C152" s="10" t="s">
        <v>53</v>
      </c>
      <c r="D152" s="10" t="s">
        <v>24</v>
      </c>
      <c r="E152" s="10" t="s">
        <v>38</v>
      </c>
      <c r="F152" s="10" t="s">
        <v>26</v>
      </c>
      <c r="G152" s="10" t="n">
        <v>3</v>
      </c>
      <c r="H152" s="12" t="n">
        <v>300</v>
      </c>
      <c r="I152" s="12" t="n">
        <v>200</v>
      </c>
      <c r="J152" s="13" t="n">
        <f aca="false">G152*H152</f>
        <v>900</v>
      </c>
      <c r="K152" s="13" t="n">
        <f aca="false">J152-G152*I152</f>
        <v>300</v>
      </c>
    </row>
    <row r="153" customFormat="false" ht="15" hidden="false" customHeight="false" outlineLevel="0" collapsed="false">
      <c r="A153" s="10" t="s">
        <v>196</v>
      </c>
      <c r="B153" s="11" t="n">
        <v>45527</v>
      </c>
      <c r="C153" s="10" t="s">
        <v>41</v>
      </c>
      <c r="D153" s="10" t="s">
        <v>42</v>
      </c>
      <c r="E153" s="10" t="s">
        <v>38</v>
      </c>
      <c r="F153" s="10" t="s">
        <v>34</v>
      </c>
      <c r="G153" s="10" t="n">
        <v>2</v>
      </c>
      <c r="H153" s="12" t="n">
        <v>45</v>
      </c>
      <c r="I153" s="12" t="n">
        <v>20</v>
      </c>
      <c r="J153" s="13" t="n">
        <f aca="false">G153*H153</f>
        <v>90</v>
      </c>
      <c r="K153" s="13" t="n">
        <f aca="false">J153-G153*I153</f>
        <v>50</v>
      </c>
    </row>
    <row r="154" customFormat="false" ht="15" hidden="false" customHeight="false" outlineLevel="0" collapsed="false">
      <c r="A154" s="10" t="s">
        <v>197</v>
      </c>
      <c r="B154" s="11" t="n">
        <v>45528</v>
      </c>
      <c r="C154" s="10" t="s">
        <v>36</v>
      </c>
      <c r="D154" s="10" t="s">
        <v>29</v>
      </c>
      <c r="E154" s="10" t="s">
        <v>33</v>
      </c>
      <c r="F154" s="10" t="s">
        <v>26</v>
      </c>
      <c r="G154" s="10" t="n">
        <v>2</v>
      </c>
      <c r="H154" s="12" t="n">
        <v>380</v>
      </c>
      <c r="I154" s="12" t="n">
        <v>260</v>
      </c>
      <c r="J154" s="13" t="n">
        <f aca="false">G154*H154</f>
        <v>760</v>
      </c>
      <c r="K154" s="13" t="n">
        <f aca="false">J154-G154*I154</f>
        <v>240</v>
      </c>
    </row>
    <row r="155" customFormat="false" ht="15" hidden="false" customHeight="false" outlineLevel="0" collapsed="false">
      <c r="A155" s="10" t="s">
        <v>198</v>
      </c>
      <c r="B155" s="11" t="n">
        <v>45529</v>
      </c>
      <c r="C155" s="10" t="s">
        <v>41</v>
      </c>
      <c r="D155" s="10" t="s">
        <v>42</v>
      </c>
      <c r="E155" s="10" t="s">
        <v>33</v>
      </c>
      <c r="F155" s="10" t="s">
        <v>26</v>
      </c>
      <c r="G155" s="10" t="n">
        <v>1</v>
      </c>
      <c r="H155" s="12" t="n">
        <v>45</v>
      </c>
      <c r="I155" s="12" t="n">
        <v>20</v>
      </c>
      <c r="J155" s="13" t="n">
        <f aca="false">G155*H155</f>
        <v>45</v>
      </c>
      <c r="K155" s="13" t="n">
        <f aca="false">J155-G155*I155</f>
        <v>25</v>
      </c>
    </row>
    <row r="156" customFormat="false" ht="15" hidden="false" customHeight="false" outlineLevel="0" collapsed="false">
      <c r="A156" s="10" t="s">
        <v>199</v>
      </c>
      <c r="B156" s="11" t="n">
        <v>45533</v>
      </c>
      <c r="C156" s="10" t="s">
        <v>28</v>
      </c>
      <c r="D156" s="10" t="s">
        <v>29</v>
      </c>
      <c r="E156" s="10" t="s">
        <v>38</v>
      </c>
      <c r="F156" s="10" t="s">
        <v>26</v>
      </c>
      <c r="G156" s="10" t="n">
        <v>1</v>
      </c>
      <c r="H156" s="12" t="n">
        <v>450</v>
      </c>
      <c r="I156" s="12" t="n">
        <v>280</v>
      </c>
      <c r="J156" s="13" t="n">
        <f aca="false">G156*H156</f>
        <v>450</v>
      </c>
      <c r="K156" s="13" t="n">
        <f aca="false">J156-G156*I156</f>
        <v>170</v>
      </c>
    </row>
    <row r="157" customFormat="false" ht="15" hidden="false" customHeight="false" outlineLevel="0" collapsed="false">
      <c r="A157" s="10" t="s">
        <v>200</v>
      </c>
      <c r="B157" s="11" t="n">
        <v>45535</v>
      </c>
      <c r="C157" s="10" t="s">
        <v>41</v>
      </c>
      <c r="D157" s="10" t="s">
        <v>42</v>
      </c>
      <c r="E157" s="10" t="s">
        <v>38</v>
      </c>
      <c r="F157" s="10" t="s">
        <v>26</v>
      </c>
      <c r="G157" s="10" t="n">
        <v>3</v>
      </c>
      <c r="H157" s="12" t="n">
        <v>45</v>
      </c>
      <c r="I157" s="12" t="n">
        <v>20</v>
      </c>
      <c r="J157" s="13" t="n">
        <f aca="false">G157*H157</f>
        <v>135</v>
      </c>
      <c r="K157" s="13" t="n">
        <f aca="false">J157-G157*I157</f>
        <v>75</v>
      </c>
    </row>
    <row r="158" customFormat="false" ht="15" hidden="false" customHeight="false" outlineLevel="0" collapsed="false">
      <c r="A158" s="10" t="s">
        <v>201</v>
      </c>
      <c r="B158" s="11" t="n">
        <v>45536</v>
      </c>
      <c r="C158" s="10" t="s">
        <v>49</v>
      </c>
      <c r="D158" s="10" t="s">
        <v>24</v>
      </c>
      <c r="E158" s="10" t="s">
        <v>25</v>
      </c>
      <c r="F158" s="10" t="s">
        <v>34</v>
      </c>
      <c r="G158" s="10" t="n">
        <v>2</v>
      </c>
      <c r="H158" s="12" t="n">
        <v>250</v>
      </c>
      <c r="I158" s="12" t="n">
        <v>170</v>
      </c>
      <c r="J158" s="13" t="n">
        <f aca="false">G158*H158</f>
        <v>500</v>
      </c>
      <c r="K158" s="13" t="n">
        <f aca="false">J158-G158*I158</f>
        <v>160</v>
      </c>
    </row>
    <row r="159" customFormat="false" ht="15" hidden="false" customHeight="false" outlineLevel="0" collapsed="false">
      <c r="A159" s="10" t="s">
        <v>202</v>
      </c>
      <c r="B159" s="11" t="n">
        <v>45537</v>
      </c>
      <c r="C159" s="10" t="s">
        <v>67</v>
      </c>
      <c r="D159" s="10" t="s">
        <v>68</v>
      </c>
      <c r="E159" s="10" t="s">
        <v>33</v>
      </c>
      <c r="F159" s="10" t="s">
        <v>26</v>
      </c>
      <c r="G159" s="10" t="n">
        <v>2</v>
      </c>
      <c r="H159" s="12" t="n">
        <v>2600</v>
      </c>
      <c r="I159" s="12" t="n">
        <v>2100</v>
      </c>
      <c r="J159" s="13" t="n">
        <f aca="false">G159*H159</f>
        <v>5200</v>
      </c>
      <c r="K159" s="13" t="n">
        <f aca="false">J159-G159*I159</f>
        <v>1000</v>
      </c>
    </row>
    <row r="160" customFormat="false" ht="15" hidden="false" customHeight="false" outlineLevel="0" collapsed="false">
      <c r="A160" s="10" t="s">
        <v>203</v>
      </c>
      <c r="B160" s="11" t="n">
        <v>45538</v>
      </c>
      <c r="C160" s="10" t="s">
        <v>55</v>
      </c>
      <c r="D160" s="10" t="s">
        <v>24</v>
      </c>
      <c r="E160" s="10" t="s">
        <v>38</v>
      </c>
      <c r="F160" s="10" t="s">
        <v>26</v>
      </c>
      <c r="G160" s="10" t="n">
        <v>1</v>
      </c>
      <c r="H160" s="12" t="n">
        <v>280</v>
      </c>
      <c r="I160" s="12" t="n">
        <v>190</v>
      </c>
      <c r="J160" s="13" t="n">
        <f aca="false">G160*H160</f>
        <v>280</v>
      </c>
      <c r="K160" s="13" t="n">
        <f aca="false">J160-G160*I160</f>
        <v>90</v>
      </c>
    </row>
    <row r="161" customFormat="false" ht="15" hidden="false" customHeight="false" outlineLevel="0" collapsed="false">
      <c r="A161" s="10" t="s">
        <v>204</v>
      </c>
      <c r="B161" s="11" t="n">
        <v>45538</v>
      </c>
      <c r="C161" s="10" t="s">
        <v>36</v>
      </c>
      <c r="D161" s="10" t="s">
        <v>29</v>
      </c>
      <c r="E161" s="10" t="s">
        <v>30</v>
      </c>
      <c r="F161" s="10" t="s">
        <v>26</v>
      </c>
      <c r="G161" s="10" t="n">
        <v>1</v>
      </c>
      <c r="H161" s="12" t="n">
        <v>380</v>
      </c>
      <c r="I161" s="12" t="n">
        <v>260</v>
      </c>
      <c r="J161" s="13" t="n">
        <f aca="false">G161*H161</f>
        <v>380</v>
      </c>
      <c r="K161" s="13" t="n">
        <f aca="false">J161-G161*I161</f>
        <v>120</v>
      </c>
    </row>
    <row r="162" customFormat="false" ht="15" hidden="false" customHeight="false" outlineLevel="0" collapsed="false">
      <c r="A162" s="10" t="s">
        <v>205</v>
      </c>
      <c r="B162" s="11" t="n">
        <v>45538</v>
      </c>
      <c r="C162" s="10" t="s">
        <v>28</v>
      </c>
      <c r="D162" s="10" t="s">
        <v>29</v>
      </c>
      <c r="E162" s="10" t="s">
        <v>30</v>
      </c>
      <c r="F162" s="10" t="s">
        <v>26</v>
      </c>
      <c r="G162" s="10" t="n">
        <v>3</v>
      </c>
      <c r="H162" s="12" t="n">
        <v>450</v>
      </c>
      <c r="I162" s="12" t="n">
        <v>280</v>
      </c>
      <c r="J162" s="13" t="n">
        <f aca="false">G162*H162</f>
        <v>1350</v>
      </c>
      <c r="K162" s="13" t="n">
        <f aca="false">J162-G162*I162</f>
        <v>510</v>
      </c>
    </row>
    <row r="163" customFormat="false" ht="15" hidden="false" customHeight="false" outlineLevel="0" collapsed="false">
      <c r="A163" s="10" t="s">
        <v>206</v>
      </c>
      <c r="B163" s="11" t="n">
        <v>45541</v>
      </c>
      <c r="C163" s="10" t="s">
        <v>55</v>
      </c>
      <c r="D163" s="10" t="s">
        <v>24</v>
      </c>
      <c r="E163" s="10" t="s">
        <v>25</v>
      </c>
      <c r="F163" s="10" t="s">
        <v>26</v>
      </c>
      <c r="G163" s="10" t="n">
        <v>1</v>
      </c>
      <c r="H163" s="12" t="n">
        <v>280</v>
      </c>
      <c r="I163" s="12" t="n">
        <v>190</v>
      </c>
      <c r="J163" s="13" t="n">
        <f aca="false">G163*H163</f>
        <v>280</v>
      </c>
      <c r="K163" s="13" t="n">
        <f aca="false">J163-G163*I163</f>
        <v>90</v>
      </c>
    </row>
    <row r="164" customFormat="false" ht="15" hidden="false" customHeight="false" outlineLevel="0" collapsed="false">
      <c r="A164" s="10" t="s">
        <v>207</v>
      </c>
      <c r="B164" s="11" t="n">
        <v>45546</v>
      </c>
      <c r="C164" s="10" t="s">
        <v>84</v>
      </c>
      <c r="D164" s="10" t="s">
        <v>42</v>
      </c>
      <c r="E164" s="10" t="s">
        <v>30</v>
      </c>
      <c r="F164" s="10" t="s">
        <v>26</v>
      </c>
      <c r="G164" s="10" t="n">
        <v>4</v>
      </c>
      <c r="H164" s="12" t="n">
        <v>480</v>
      </c>
      <c r="I164" s="12" t="n">
        <v>220</v>
      </c>
      <c r="J164" s="13" t="n">
        <f aca="false">G164*H164</f>
        <v>1920</v>
      </c>
      <c r="K164" s="13" t="n">
        <f aca="false">J164-G164*I164</f>
        <v>1040</v>
      </c>
    </row>
    <row r="165" customFormat="false" ht="15" hidden="false" customHeight="false" outlineLevel="0" collapsed="false">
      <c r="A165" s="10" t="s">
        <v>208</v>
      </c>
      <c r="B165" s="11" t="n">
        <v>45550</v>
      </c>
      <c r="C165" s="10" t="s">
        <v>23</v>
      </c>
      <c r="D165" s="10" t="s">
        <v>24</v>
      </c>
      <c r="E165" s="10" t="s">
        <v>38</v>
      </c>
      <c r="F165" s="10" t="s">
        <v>26</v>
      </c>
      <c r="G165" s="10" t="n">
        <v>2</v>
      </c>
      <c r="H165" s="12" t="n">
        <v>260</v>
      </c>
      <c r="I165" s="12" t="n">
        <v>180</v>
      </c>
      <c r="J165" s="13" t="n">
        <f aca="false">G165*H165</f>
        <v>520</v>
      </c>
      <c r="K165" s="13" t="n">
        <f aca="false">J165-G165*I165</f>
        <v>160</v>
      </c>
    </row>
    <row r="166" customFormat="false" ht="15" hidden="false" customHeight="false" outlineLevel="0" collapsed="false">
      <c r="A166" s="10" t="s">
        <v>209</v>
      </c>
      <c r="B166" s="11" t="n">
        <v>45550</v>
      </c>
      <c r="C166" s="10" t="s">
        <v>23</v>
      </c>
      <c r="D166" s="10" t="s">
        <v>24</v>
      </c>
      <c r="E166" s="10" t="s">
        <v>38</v>
      </c>
      <c r="F166" s="10" t="s">
        <v>26</v>
      </c>
      <c r="G166" s="10" t="n">
        <v>3</v>
      </c>
      <c r="H166" s="12" t="n">
        <v>260</v>
      </c>
      <c r="I166" s="12" t="n">
        <v>180</v>
      </c>
      <c r="J166" s="13" t="n">
        <f aca="false">G166*H166</f>
        <v>780</v>
      </c>
      <c r="K166" s="13" t="n">
        <f aca="false">J166-G166*I166</f>
        <v>240</v>
      </c>
    </row>
    <row r="167" customFormat="false" ht="15" hidden="false" customHeight="false" outlineLevel="0" collapsed="false">
      <c r="A167" s="10" t="s">
        <v>210</v>
      </c>
      <c r="B167" s="11" t="n">
        <v>45550</v>
      </c>
      <c r="C167" s="10" t="s">
        <v>41</v>
      </c>
      <c r="D167" s="10" t="s">
        <v>42</v>
      </c>
      <c r="E167" s="10" t="s">
        <v>30</v>
      </c>
      <c r="F167" s="10" t="s">
        <v>34</v>
      </c>
      <c r="G167" s="10" t="n">
        <v>4</v>
      </c>
      <c r="H167" s="12" t="n">
        <v>45</v>
      </c>
      <c r="I167" s="12" t="n">
        <v>20</v>
      </c>
      <c r="J167" s="13" t="n">
        <f aca="false">G167*H167</f>
        <v>180</v>
      </c>
      <c r="K167" s="13" t="n">
        <f aca="false">J167-G167*I167</f>
        <v>100</v>
      </c>
    </row>
    <row r="168" customFormat="false" ht="15" hidden="false" customHeight="false" outlineLevel="0" collapsed="false">
      <c r="A168" s="10" t="s">
        <v>211</v>
      </c>
      <c r="B168" s="11" t="n">
        <v>45551</v>
      </c>
      <c r="C168" s="10" t="s">
        <v>23</v>
      </c>
      <c r="D168" s="10" t="s">
        <v>24</v>
      </c>
      <c r="E168" s="10" t="s">
        <v>25</v>
      </c>
      <c r="F168" s="10" t="s">
        <v>34</v>
      </c>
      <c r="G168" s="10" t="n">
        <v>3</v>
      </c>
      <c r="H168" s="12" t="n">
        <v>260</v>
      </c>
      <c r="I168" s="12" t="n">
        <v>180</v>
      </c>
      <c r="J168" s="13" t="n">
        <f aca="false">G168*H168</f>
        <v>780</v>
      </c>
      <c r="K168" s="13" t="n">
        <f aca="false">J168-G168*I168</f>
        <v>240</v>
      </c>
    </row>
    <row r="169" customFormat="false" ht="15" hidden="false" customHeight="false" outlineLevel="0" collapsed="false">
      <c r="A169" s="10" t="s">
        <v>212</v>
      </c>
      <c r="B169" s="11" t="n">
        <v>45556</v>
      </c>
      <c r="C169" s="10" t="s">
        <v>84</v>
      </c>
      <c r="D169" s="10" t="s">
        <v>42</v>
      </c>
      <c r="E169" s="10" t="s">
        <v>30</v>
      </c>
      <c r="F169" s="10" t="s">
        <v>34</v>
      </c>
      <c r="G169" s="10" t="n">
        <v>1</v>
      </c>
      <c r="H169" s="12" t="n">
        <v>480</v>
      </c>
      <c r="I169" s="12" t="n">
        <v>220</v>
      </c>
      <c r="J169" s="13" t="n">
        <f aca="false">G169*H169</f>
        <v>480</v>
      </c>
      <c r="K169" s="13" t="n">
        <f aca="false">J169-G169*I169</f>
        <v>260</v>
      </c>
    </row>
    <row r="170" customFormat="false" ht="15" hidden="false" customHeight="false" outlineLevel="0" collapsed="false">
      <c r="A170" s="10" t="s">
        <v>213</v>
      </c>
      <c r="B170" s="11" t="n">
        <v>45559</v>
      </c>
      <c r="C170" s="10" t="s">
        <v>51</v>
      </c>
      <c r="D170" s="10" t="s">
        <v>42</v>
      </c>
      <c r="E170" s="10" t="s">
        <v>57</v>
      </c>
      <c r="F170" s="10" t="s">
        <v>34</v>
      </c>
      <c r="G170" s="10" t="n">
        <v>3</v>
      </c>
      <c r="H170" s="12" t="n">
        <v>130</v>
      </c>
      <c r="I170" s="12" t="n">
        <v>60</v>
      </c>
      <c r="J170" s="13" t="n">
        <f aca="false">G170*H170</f>
        <v>390</v>
      </c>
      <c r="K170" s="13" t="n">
        <f aca="false">J170-G170*I170</f>
        <v>210</v>
      </c>
    </row>
    <row r="171" customFormat="false" ht="15" hidden="false" customHeight="false" outlineLevel="0" collapsed="false">
      <c r="A171" s="10" t="s">
        <v>214</v>
      </c>
      <c r="B171" s="11" t="n">
        <v>45559</v>
      </c>
      <c r="C171" s="10" t="s">
        <v>36</v>
      </c>
      <c r="D171" s="10" t="s">
        <v>29</v>
      </c>
      <c r="E171" s="10" t="s">
        <v>30</v>
      </c>
      <c r="F171" s="10" t="s">
        <v>26</v>
      </c>
      <c r="G171" s="10" t="n">
        <v>1</v>
      </c>
      <c r="H171" s="12" t="n">
        <v>380</v>
      </c>
      <c r="I171" s="12" t="n">
        <v>260</v>
      </c>
      <c r="J171" s="13" t="n">
        <f aca="false">G171*H171</f>
        <v>380</v>
      </c>
      <c r="K171" s="13" t="n">
        <f aca="false">J171-G171*I171</f>
        <v>120</v>
      </c>
    </row>
    <row r="172" customFormat="false" ht="15" hidden="false" customHeight="false" outlineLevel="0" collapsed="false">
      <c r="A172" s="10" t="s">
        <v>215</v>
      </c>
      <c r="B172" s="11" t="n">
        <v>45559</v>
      </c>
      <c r="C172" s="10" t="s">
        <v>23</v>
      </c>
      <c r="D172" s="10" t="s">
        <v>24</v>
      </c>
      <c r="E172" s="10" t="s">
        <v>38</v>
      </c>
      <c r="F172" s="10" t="s">
        <v>26</v>
      </c>
      <c r="G172" s="10" t="n">
        <v>3</v>
      </c>
      <c r="H172" s="12" t="n">
        <v>260</v>
      </c>
      <c r="I172" s="12" t="n">
        <v>180</v>
      </c>
      <c r="J172" s="13" t="n">
        <f aca="false">G172*H172</f>
        <v>780</v>
      </c>
      <c r="K172" s="13" t="n">
        <f aca="false">J172-G172*I172</f>
        <v>240</v>
      </c>
    </row>
    <row r="173" customFormat="false" ht="15" hidden="false" customHeight="false" outlineLevel="0" collapsed="false">
      <c r="A173" s="10" t="s">
        <v>216</v>
      </c>
      <c r="B173" s="11" t="n">
        <v>45559</v>
      </c>
      <c r="C173" s="10" t="s">
        <v>49</v>
      </c>
      <c r="D173" s="10" t="s">
        <v>24</v>
      </c>
      <c r="E173" s="10" t="s">
        <v>38</v>
      </c>
      <c r="F173" s="10" t="s">
        <v>26</v>
      </c>
      <c r="G173" s="10" t="n">
        <v>1</v>
      </c>
      <c r="H173" s="12" t="n">
        <v>250</v>
      </c>
      <c r="I173" s="12" t="n">
        <v>170</v>
      </c>
      <c r="J173" s="13" t="n">
        <f aca="false">G173*H173</f>
        <v>250</v>
      </c>
      <c r="K173" s="13" t="n">
        <f aca="false">J173-G173*I173</f>
        <v>80</v>
      </c>
    </row>
    <row r="174" customFormat="false" ht="15" hidden="false" customHeight="false" outlineLevel="0" collapsed="false">
      <c r="A174" s="10" t="s">
        <v>217</v>
      </c>
      <c r="B174" s="11" t="n">
        <v>45560</v>
      </c>
      <c r="C174" s="10" t="s">
        <v>36</v>
      </c>
      <c r="D174" s="10" t="s">
        <v>29</v>
      </c>
      <c r="E174" s="10" t="s">
        <v>38</v>
      </c>
      <c r="F174" s="10" t="s">
        <v>34</v>
      </c>
      <c r="G174" s="10" t="n">
        <v>1</v>
      </c>
      <c r="H174" s="12" t="n">
        <v>380</v>
      </c>
      <c r="I174" s="12" t="n">
        <v>260</v>
      </c>
      <c r="J174" s="13" t="n">
        <f aca="false">G174*H174</f>
        <v>380</v>
      </c>
      <c r="K174" s="13" t="n">
        <f aca="false">J174-G174*I174</f>
        <v>120</v>
      </c>
    </row>
    <row r="175" customFormat="false" ht="15" hidden="false" customHeight="false" outlineLevel="0" collapsed="false">
      <c r="A175" s="10" t="s">
        <v>218</v>
      </c>
      <c r="B175" s="11" t="n">
        <v>45562</v>
      </c>
      <c r="C175" s="10" t="s">
        <v>41</v>
      </c>
      <c r="D175" s="10" t="s">
        <v>42</v>
      </c>
      <c r="E175" s="10" t="s">
        <v>30</v>
      </c>
      <c r="F175" s="10" t="s">
        <v>26</v>
      </c>
      <c r="G175" s="10" t="n">
        <v>3</v>
      </c>
      <c r="H175" s="12" t="n">
        <v>45</v>
      </c>
      <c r="I175" s="12" t="n">
        <v>20</v>
      </c>
      <c r="J175" s="13" t="n">
        <f aca="false">G175*H175</f>
        <v>135</v>
      </c>
      <c r="K175" s="13" t="n">
        <f aca="false">J175-G175*I175</f>
        <v>75</v>
      </c>
    </row>
    <row r="176" customFormat="false" ht="15" hidden="false" customHeight="false" outlineLevel="0" collapsed="false">
      <c r="A176" s="10" t="s">
        <v>219</v>
      </c>
      <c r="B176" s="11" t="n">
        <v>45562</v>
      </c>
      <c r="C176" s="10" t="s">
        <v>84</v>
      </c>
      <c r="D176" s="10" t="s">
        <v>42</v>
      </c>
      <c r="E176" s="10" t="s">
        <v>38</v>
      </c>
      <c r="F176" s="10" t="s">
        <v>34</v>
      </c>
      <c r="G176" s="10" t="n">
        <v>1</v>
      </c>
      <c r="H176" s="12" t="n">
        <v>480</v>
      </c>
      <c r="I176" s="12" t="n">
        <v>220</v>
      </c>
      <c r="J176" s="13" t="n">
        <f aca="false">G176*H176</f>
        <v>480</v>
      </c>
      <c r="K176" s="13" t="n">
        <f aca="false">J176-G176*I176</f>
        <v>260</v>
      </c>
    </row>
    <row r="177" customFormat="false" ht="15" hidden="false" customHeight="false" outlineLevel="0" collapsed="false">
      <c r="A177" s="10" t="s">
        <v>220</v>
      </c>
      <c r="B177" s="11" t="n">
        <v>45566</v>
      </c>
      <c r="C177" s="10" t="s">
        <v>84</v>
      </c>
      <c r="D177" s="10" t="s">
        <v>42</v>
      </c>
      <c r="E177" s="10" t="s">
        <v>25</v>
      </c>
      <c r="F177" s="10" t="s">
        <v>26</v>
      </c>
      <c r="G177" s="10" t="n">
        <v>1</v>
      </c>
      <c r="H177" s="12" t="n">
        <v>480</v>
      </c>
      <c r="I177" s="12" t="n">
        <v>220</v>
      </c>
      <c r="J177" s="13" t="n">
        <f aca="false">G177*H177</f>
        <v>480</v>
      </c>
      <c r="K177" s="13" t="n">
        <f aca="false">J177-G177*I177</f>
        <v>260</v>
      </c>
    </row>
    <row r="178" customFormat="false" ht="15" hidden="false" customHeight="false" outlineLevel="0" collapsed="false">
      <c r="A178" s="10" t="s">
        <v>221</v>
      </c>
      <c r="B178" s="11" t="n">
        <v>45568</v>
      </c>
      <c r="C178" s="10" t="s">
        <v>49</v>
      </c>
      <c r="D178" s="10" t="s">
        <v>24</v>
      </c>
      <c r="E178" s="10" t="s">
        <v>30</v>
      </c>
      <c r="F178" s="10" t="s">
        <v>26</v>
      </c>
      <c r="G178" s="10" t="n">
        <v>1</v>
      </c>
      <c r="H178" s="12" t="n">
        <v>250</v>
      </c>
      <c r="I178" s="12" t="n">
        <v>170</v>
      </c>
      <c r="J178" s="13" t="n">
        <f aca="false">G178*H178</f>
        <v>250</v>
      </c>
      <c r="K178" s="13" t="n">
        <f aca="false">J178-G178*I178</f>
        <v>80</v>
      </c>
    </row>
    <row r="179" customFormat="false" ht="15" hidden="false" customHeight="false" outlineLevel="0" collapsed="false">
      <c r="A179" s="10" t="s">
        <v>222</v>
      </c>
      <c r="B179" s="11" t="n">
        <v>45568</v>
      </c>
      <c r="C179" s="10" t="s">
        <v>55</v>
      </c>
      <c r="D179" s="10" t="s">
        <v>24</v>
      </c>
      <c r="E179" s="10" t="s">
        <v>25</v>
      </c>
      <c r="F179" s="10" t="s">
        <v>34</v>
      </c>
      <c r="G179" s="10" t="n">
        <v>1</v>
      </c>
      <c r="H179" s="12" t="n">
        <v>280</v>
      </c>
      <c r="I179" s="12" t="n">
        <v>190</v>
      </c>
      <c r="J179" s="13" t="n">
        <f aca="false">G179*H179</f>
        <v>280</v>
      </c>
      <c r="K179" s="13" t="n">
        <f aca="false">J179-G179*I179</f>
        <v>90</v>
      </c>
    </row>
    <row r="180" customFormat="false" ht="15" hidden="false" customHeight="false" outlineLevel="0" collapsed="false">
      <c r="A180" s="10" t="s">
        <v>223</v>
      </c>
      <c r="B180" s="11" t="n">
        <v>45569</v>
      </c>
      <c r="C180" s="10" t="s">
        <v>51</v>
      </c>
      <c r="D180" s="10" t="s">
        <v>42</v>
      </c>
      <c r="E180" s="10" t="s">
        <v>38</v>
      </c>
      <c r="F180" s="10" t="s">
        <v>34</v>
      </c>
      <c r="G180" s="10" t="n">
        <v>3</v>
      </c>
      <c r="H180" s="12" t="n">
        <v>130</v>
      </c>
      <c r="I180" s="12" t="n">
        <v>60</v>
      </c>
      <c r="J180" s="13" t="n">
        <f aca="false">G180*H180</f>
        <v>390</v>
      </c>
      <c r="K180" s="13" t="n">
        <f aca="false">J180-G180*I180</f>
        <v>210</v>
      </c>
    </row>
    <row r="181" customFormat="false" ht="15" hidden="false" customHeight="false" outlineLevel="0" collapsed="false">
      <c r="A181" s="10" t="s">
        <v>224</v>
      </c>
      <c r="B181" s="11" t="n">
        <v>45570</v>
      </c>
      <c r="C181" s="10" t="s">
        <v>41</v>
      </c>
      <c r="D181" s="10" t="s">
        <v>42</v>
      </c>
      <c r="E181" s="10" t="s">
        <v>33</v>
      </c>
      <c r="F181" s="10" t="s">
        <v>26</v>
      </c>
      <c r="G181" s="10" t="n">
        <v>1</v>
      </c>
      <c r="H181" s="12" t="n">
        <v>45</v>
      </c>
      <c r="I181" s="12" t="n">
        <v>20</v>
      </c>
      <c r="J181" s="13" t="n">
        <f aca="false">G181*H181</f>
        <v>45</v>
      </c>
      <c r="K181" s="13" t="n">
        <f aca="false">J181-G181*I181</f>
        <v>25</v>
      </c>
    </row>
    <row r="182" customFormat="false" ht="15" hidden="false" customHeight="false" outlineLevel="0" collapsed="false">
      <c r="A182" s="10" t="s">
        <v>225</v>
      </c>
      <c r="B182" s="11" t="n">
        <v>45577</v>
      </c>
      <c r="C182" s="10" t="s">
        <v>28</v>
      </c>
      <c r="D182" s="10" t="s">
        <v>29</v>
      </c>
      <c r="E182" s="10" t="s">
        <v>33</v>
      </c>
      <c r="F182" s="10" t="s">
        <v>26</v>
      </c>
      <c r="G182" s="10" t="n">
        <v>2</v>
      </c>
      <c r="H182" s="12" t="n">
        <v>450</v>
      </c>
      <c r="I182" s="12" t="n">
        <v>280</v>
      </c>
      <c r="J182" s="13" t="n">
        <f aca="false">G182*H182</f>
        <v>900</v>
      </c>
      <c r="K182" s="13" t="n">
        <f aca="false">J182-G182*I182</f>
        <v>340</v>
      </c>
    </row>
    <row r="183" customFormat="false" ht="15" hidden="false" customHeight="false" outlineLevel="0" collapsed="false">
      <c r="A183" s="10" t="s">
        <v>226</v>
      </c>
      <c r="B183" s="11" t="n">
        <v>45578</v>
      </c>
      <c r="C183" s="10" t="s">
        <v>28</v>
      </c>
      <c r="D183" s="10" t="s">
        <v>29</v>
      </c>
      <c r="E183" s="10" t="s">
        <v>33</v>
      </c>
      <c r="F183" s="10" t="s">
        <v>34</v>
      </c>
      <c r="G183" s="10" t="n">
        <v>1</v>
      </c>
      <c r="H183" s="12" t="n">
        <v>450</v>
      </c>
      <c r="I183" s="12" t="n">
        <v>280</v>
      </c>
      <c r="J183" s="13" t="n">
        <f aca="false">G183*H183</f>
        <v>450</v>
      </c>
      <c r="K183" s="13" t="n">
        <f aca="false">J183-G183*I183</f>
        <v>170</v>
      </c>
    </row>
    <row r="184" customFormat="false" ht="15" hidden="false" customHeight="false" outlineLevel="0" collapsed="false">
      <c r="A184" s="10" t="s">
        <v>227</v>
      </c>
      <c r="B184" s="11" t="n">
        <v>45579</v>
      </c>
      <c r="C184" s="10" t="s">
        <v>28</v>
      </c>
      <c r="D184" s="10" t="s">
        <v>29</v>
      </c>
      <c r="E184" s="10" t="s">
        <v>30</v>
      </c>
      <c r="F184" s="10" t="s">
        <v>26</v>
      </c>
      <c r="G184" s="10" t="n">
        <v>3</v>
      </c>
      <c r="H184" s="12" t="n">
        <v>450</v>
      </c>
      <c r="I184" s="12" t="n">
        <v>280</v>
      </c>
      <c r="J184" s="13" t="n">
        <f aca="false">G184*H184</f>
        <v>1350</v>
      </c>
      <c r="K184" s="13" t="n">
        <f aca="false">J184-G184*I184</f>
        <v>510</v>
      </c>
    </row>
    <row r="185" customFormat="false" ht="15" hidden="false" customHeight="false" outlineLevel="0" collapsed="false">
      <c r="A185" s="10" t="s">
        <v>228</v>
      </c>
      <c r="B185" s="11" t="n">
        <v>45583</v>
      </c>
      <c r="C185" s="10" t="s">
        <v>84</v>
      </c>
      <c r="D185" s="10" t="s">
        <v>42</v>
      </c>
      <c r="E185" s="10" t="s">
        <v>25</v>
      </c>
      <c r="F185" s="10" t="s">
        <v>26</v>
      </c>
      <c r="G185" s="10" t="n">
        <v>3</v>
      </c>
      <c r="H185" s="12" t="n">
        <v>480</v>
      </c>
      <c r="I185" s="12" t="n">
        <v>220</v>
      </c>
      <c r="J185" s="13" t="n">
        <f aca="false">G185*H185</f>
        <v>1440</v>
      </c>
      <c r="K185" s="13" t="n">
        <f aca="false">J185-G185*I185</f>
        <v>780</v>
      </c>
    </row>
    <row r="186" customFormat="false" ht="15" hidden="false" customHeight="false" outlineLevel="0" collapsed="false">
      <c r="A186" s="10" t="s">
        <v>229</v>
      </c>
      <c r="B186" s="11" t="n">
        <v>45586</v>
      </c>
      <c r="C186" s="10" t="s">
        <v>51</v>
      </c>
      <c r="D186" s="10" t="s">
        <v>42</v>
      </c>
      <c r="E186" s="10" t="s">
        <v>38</v>
      </c>
      <c r="F186" s="10" t="s">
        <v>34</v>
      </c>
      <c r="G186" s="10" t="n">
        <v>2</v>
      </c>
      <c r="H186" s="12" t="n">
        <v>130</v>
      </c>
      <c r="I186" s="12" t="n">
        <v>60</v>
      </c>
      <c r="J186" s="13" t="n">
        <f aca="false">G186*H186</f>
        <v>260</v>
      </c>
      <c r="K186" s="13" t="n">
        <f aca="false">J186-G186*I186</f>
        <v>140</v>
      </c>
    </row>
    <row r="187" customFormat="false" ht="15" hidden="false" customHeight="false" outlineLevel="0" collapsed="false">
      <c r="A187" s="10" t="s">
        <v>230</v>
      </c>
      <c r="B187" s="11" t="n">
        <v>45586</v>
      </c>
      <c r="C187" s="10" t="s">
        <v>101</v>
      </c>
      <c r="D187" s="10" t="s">
        <v>68</v>
      </c>
      <c r="E187" s="10" t="s">
        <v>38</v>
      </c>
      <c r="F187" s="10" t="s">
        <v>26</v>
      </c>
      <c r="G187" s="10" t="n">
        <v>2</v>
      </c>
      <c r="H187" s="12" t="n">
        <v>4200</v>
      </c>
      <c r="I187" s="12" t="n">
        <v>3300</v>
      </c>
      <c r="J187" s="13" t="n">
        <f aca="false">G187*H187</f>
        <v>8400</v>
      </c>
      <c r="K187" s="13" t="n">
        <f aca="false">J187-G187*I187</f>
        <v>1800</v>
      </c>
    </row>
    <row r="188" customFormat="false" ht="15" hidden="false" customHeight="false" outlineLevel="0" collapsed="false">
      <c r="A188" s="10" t="s">
        <v>231</v>
      </c>
      <c r="B188" s="11" t="n">
        <v>45588</v>
      </c>
      <c r="C188" s="10" t="s">
        <v>23</v>
      </c>
      <c r="D188" s="10" t="s">
        <v>24</v>
      </c>
      <c r="E188" s="10" t="s">
        <v>38</v>
      </c>
      <c r="F188" s="10" t="s">
        <v>26</v>
      </c>
      <c r="G188" s="10" t="n">
        <v>4</v>
      </c>
      <c r="H188" s="12" t="n">
        <v>260</v>
      </c>
      <c r="I188" s="12" t="n">
        <v>180</v>
      </c>
      <c r="J188" s="13" t="n">
        <f aca="false">G188*H188</f>
        <v>1040</v>
      </c>
      <c r="K188" s="13" t="n">
        <f aca="false">J188-G188*I188</f>
        <v>320</v>
      </c>
    </row>
    <row r="189" customFormat="false" ht="15" hidden="false" customHeight="false" outlineLevel="0" collapsed="false">
      <c r="A189" s="10" t="s">
        <v>232</v>
      </c>
      <c r="B189" s="11" t="n">
        <v>45588</v>
      </c>
      <c r="C189" s="10" t="s">
        <v>32</v>
      </c>
      <c r="D189" s="10" t="s">
        <v>29</v>
      </c>
      <c r="E189" s="10" t="s">
        <v>25</v>
      </c>
      <c r="F189" s="10" t="s">
        <v>26</v>
      </c>
      <c r="G189" s="10" t="n">
        <v>3</v>
      </c>
      <c r="H189" s="12" t="n">
        <v>520</v>
      </c>
      <c r="I189" s="12" t="n">
        <v>300</v>
      </c>
      <c r="J189" s="13" t="n">
        <f aca="false">G189*H189</f>
        <v>1560</v>
      </c>
      <c r="K189" s="13" t="n">
        <f aca="false">J189-G189*I189</f>
        <v>660</v>
      </c>
    </row>
    <row r="190" customFormat="false" ht="15" hidden="false" customHeight="false" outlineLevel="0" collapsed="false">
      <c r="A190" s="10" t="s">
        <v>233</v>
      </c>
      <c r="B190" s="11" t="n">
        <v>45592</v>
      </c>
      <c r="C190" s="10" t="s">
        <v>41</v>
      </c>
      <c r="D190" s="10" t="s">
        <v>42</v>
      </c>
      <c r="E190" s="10" t="s">
        <v>30</v>
      </c>
      <c r="F190" s="10" t="s">
        <v>34</v>
      </c>
      <c r="G190" s="10" t="n">
        <v>3</v>
      </c>
      <c r="H190" s="12" t="n">
        <v>45</v>
      </c>
      <c r="I190" s="12" t="n">
        <v>20</v>
      </c>
      <c r="J190" s="13" t="n">
        <f aca="false">G190*H190</f>
        <v>135</v>
      </c>
      <c r="K190" s="13" t="n">
        <f aca="false">J190-G190*I190</f>
        <v>75</v>
      </c>
    </row>
    <row r="191" customFormat="false" ht="15" hidden="false" customHeight="false" outlineLevel="0" collapsed="false">
      <c r="A191" s="10" t="s">
        <v>234</v>
      </c>
      <c r="B191" s="11" t="n">
        <v>45592</v>
      </c>
      <c r="C191" s="10" t="s">
        <v>84</v>
      </c>
      <c r="D191" s="10" t="s">
        <v>42</v>
      </c>
      <c r="E191" s="10" t="s">
        <v>30</v>
      </c>
      <c r="F191" s="10" t="s">
        <v>34</v>
      </c>
      <c r="G191" s="10" t="n">
        <v>1</v>
      </c>
      <c r="H191" s="12" t="n">
        <v>480</v>
      </c>
      <c r="I191" s="12" t="n">
        <v>220</v>
      </c>
      <c r="J191" s="13" t="n">
        <f aca="false">G191*H191</f>
        <v>480</v>
      </c>
      <c r="K191" s="13" t="n">
        <f aca="false">J191-G191*I191</f>
        <v>260</v>
      </c>
    </row>
    <row r="192" customFormat="false" ht="15" hidden="false" customHeight="false" outlineLevel="0" collapsed="false">
      <c r="A192" s="10" t="s">
        <v>235</v>
      </c>
      <c r="B192" s="11" t="n">
        <v>45594</v>
      </c>
      <c r="C192" s="10" t="s">
        <v>53</v>
      </c>
      <c r="D192" s="10" t="s">
        <v>24</v>
      </c>
      <c r="E192" s="10" t="s">
        <v>57</v>
      </c>
      <c r="F192" s="10" t="s">
        <v>26</v>
      </c>
      <c r="G192" s="10" t="n">
        <v>4</v>
      </c>
      <c r="H192" s="12" t="n">
        <v>300</v>
      </c>
      <c r="I192" s="12" t="n">
        <v>200</v>
      </c>
      <c r="J192" s="13" t="n">
        <f aca="false">G192*H192</f>
        <v>1200</v>
      </c>
      <c r="K192" s="13" t="n">
        <f aca="false">J192-G192*I192</f>
        <v>400</v>
      </c>
    </row>
    <row r="193" customFormat="false" ht="15" hidden="false" customHeight="false" outlineLevel="0" collapsed="false">
      <c r="A193" s="10" t="s">
        <v>236</v>
      </c>
      <c r="B193" s="11" t="n">
        <v>45594</v>
      </c>
      <c r="C193" s="10" t="s">
        <v>36</v>
      </c>
      <c r="D193" s="10" t="s">
        <v>29</v>
      </c>
      <c r="E193" s="10" t="s">
        <v>38</v>
      </c>
      <c r="F193" s="10" t="s">
        <v>26</v>
      </c>
      <c r="G193" s="10" t="n">
        <v>4</v>
      </c>
      <c r="H193" s="12" t="n">
        <v>380</v>
      </c>
      <c r="I193" s="12" t="n">
        <v>260</v>
      </c>
      <c r="J193" s="13" t="n">
        <f aca="false">G193*H193</f>
        <v>1520</v>
      </c>
      <c r="K193" s="13" t="n">
        <f aca="false">J193-G193*I193</f>
        <v>480</v>
      </c>
    </row>
    <row r="194" customFormat="false" ht="15" hidden="false" customHeight="false" outlineLevel="0" collapsed="false">
      <c r="A194" s="10" t="s">
        <v>237</v>
      </c>
      <c r="B194" s="11" t="n">
        <v>45596</v>
      </c>
      <c r="C194" s="10" t="s">
        <v>53</v>
      </c>
      <c r="D194" s="10" t="s">
        <v>24</v>
      </c>
      <c r="E194" s="10" t="s">
        <v>38</v>
      </c>
      <c r="F194" s="10" t="s">
        <v>26</v>
      </c>
      <c r="G194" s="10" t="n">
        <v>4</v>
      </c>
      <c r="H194" s="12" t="n">
        <v>300</v>
      </c>
      <c r="I194" s="12" t="n">
        <v>200</v>
      </c>
      <c r="J194" s="13" t="n">
        <f aca="false">G194*H194</f>
        <v>1200</v>
      </c>
      <c r="K194" s="13" t="n">
        <f aca="false">J194-G194*I194</f>
        <v>400</v>
      </c>
    </row>
    <row r="195" customFormat="false" ht="15" hidden="false" customHeight="false" outlineLevel="0" collapsed="false">
      <c r="A195" s="10" t="s">
        <v>238</v>
      </c>
      <c r="B195" s="11" t="n">
        <v>45596</v>
      </c>
      <c r="C195" s="10" t="s">
        <v>28</v>
      </c>
      <c r="D195" s="10" t="s">
        <v>29</v>
      </c>
      <c r="E195" s="10" t="s">
        <v>30</v>
      </c>
      <c r="F195" s="10" t="s">
        <v>26</v>
      </c>
      <c r="G195" s="10" t="n">
        <v>2</v>
      </c>
      <c r="H195" s="12" t="n">
        <v>450</v>
      </c>
      <c r="I195" s="12" t="n">
        <v>280</v>
      </c>
      <c r="J195" s="13" t="n">
        <f aca="false">G195*H195</f>
        <v>900</v>
      </c>
      <c r="K195" s="13" t="n">
        <f aca="false">J195-G195*I195</f>
        <v>340</v>
      </c>
    </row>
    <row r="196" customFormat="false" ht="15" hidden="false" customHeight="false" outlineLevel="0" collapsed="false">
      <c r="A196" s="10" t="s">
        <v>239</v>
      </c>
      <c r="B196" s="11" t="n">
        <v>45596</v>
      </c>
      <c r="C196" s="10" t="s">
        <v>32</v>
      </c>
      <c r="D196" s="10" t="s">
        <v>29</v>
      </c>
      <c r="E196" s="10" t="s">
        <v>38</v>
      </c>
      <c r="F196" s="10" t="s">
        <v>26</v>
      </c>
      <c r="G196" s="10" t="n">
        <v>2</v>
      </c>
      <c r="H196" s="12" t="n">
        <v>520</v>
      </c>
      <c r="I196" s="12" t="n">
        <v>300</v>
      </c>
      <c r="J196" s="13" t="n">
        <f aca="false">G196*H196</f>
        <v>1040</v>
      </c>
      <c r="K196" s="13" t="n">
        <f aca="false">J196-G196*I196</f>
        <v>440</v>
      </c>
    </row>
    <row r="197" customFormat="false" ht="15" hidden="false" customHeight="false" outlineLevel="0" collapsed="false">
      <c r="A197" s="10" t="s">
        <v>240</v>
      </c>
      <c r="B197" s="11" t="n">
        <v>45600</v>
      </c>
      <c r="C197" s="10" t="s">
        <v>41</v>
      </c>
      <c r="D197" s="10" t="s">
        <v>42</v>
      </c>
      <c r="E197" s="10" t="s">
        <v>38</v>
      </c>
      <c r="F197" s="10" t="s">
        <v>26</v>
      </c>
      <c r="G197" s="10" t="n">
        <v>3</v>
      </c>
      <c r="H197" s="12" t="n">
        <v>45</v>
      </c>
      <c r="I197" s="12" t="n">
        <v>20</v>
      </c>
      <c r="J197" s="13" t="n">
        <f aca="false">G197*H197</f>
        <v>135</v>
      </c>
      <c r="K197" s="13" t="n">
        <f aca="false">J197-G197*I197</f>
        <v>75</v>
      </c>
    </row>
    <row r="198" customFormat="false" ht="15" hidden="false" customHeight="false" outlineLevel="0" collapsed="false">
      <c r="A198" s="10" t="s">
        <v>241</v>
      </c>
      <c r="B198" s="11" t="n">
        <v>45601</v>
      </c>
      <c r="C198" s="10" t="s">
        <v>23</v>
      </c>
      <c r="D198" s="10" t="s">
        <v>24</v>
      </c>
      <c r="E198" s="10" t="s">
        <v>38</v>
      </c>
      <c r="F198" s="10" t="s">
        <v>34</v>
      </c>
      <c r="G198" s="10" t="n">
        <v>3</v>
      </c>
      <c r="H198" s="12" t="n">
        <v>260</v>
      </c>
      <c r="I198" s="12" t="n">
        <v>180</v>
      </c>
      <c r="J198" s="13" t="n">
        <f aca="false">G198*H198</f>
        <v>780</v>
      </c>
      <c r="K198" s="13" t="n">
        <f aca="false">J198-G198*I198</f>
        <v>240</v>
      </c>
    </row>
    <row r="199" customFormat="false" ht="15" hidden="false" customHeight="false" outlineLevel="0" collapsed="false">
      <c r="A199" s="10" t="s">
        <v>242</v>
      </c>
      <c r="B199" s="11" t="n">
        <v>45602</v>
      </c>
      <c r="C199" s="10" t="s">
        <v>32</v>
      </c>
      <c r="D199" s="10" t="s">
        <v>29</v>
      </c>
      <c r="E199" s="10" t="s">
        <v>30</v>
      </c>
      <c r="F199" s="10" t="s">
        <v>34</v>
      </c>
      <c r="G199" s="10" t="n">
        <v>2</v>
      </c>
      <c r="H199" s="12" t="n">
        <v>520</v>
      </c>
      <c r="I199" s="12" t="n">
        <v>300</v>
      </c>
      <c r="J199" s="13" t="n">
        <f aca="false">G199*H199</f>
        <v>1040</v>
      </c>
      <c r="K199" s="13" t="n">
        <f aca="false">J199-G199*I199</f>
        <v>440</v>
      </c>
    </row>
    <row r="200" customFormat="false" ht="15" hidden="false" customHeight="false" outlineLevel="0" collapsed="false">
      <c r="A200" s="10" t="s">
        <v>243</v>
      </c>
      <c r="B200" s="11" t="n">
        <v>45603</v>
      </c>
      <c r="C200" s="10" t="s">
        <v>28</v>
      </c>
      <c r="D200" s="10" t="s">
        <v>29</v>
      </c>
      <c r="E200" s="10" t="s">
        <v>38</v>
      </c>
      <c r="F200" s="10" t="s">
        <v>34</v>
      </c>
      <c r="G200" s="10" t="n">
        <v>3</v>
      </c>
      <c r="H200" s="12" t="n">
        <v>450</v>
      </c>
      <c r="I200" s="12" t="n">
        <v>280</v>
      </c>
      <c r="J200" s="13" t="n">
        <f aca="false">G200*H200</f>
        <v>1350</v>
      </c>
      <c r="K200" s="13" t="n">
        <f aca="false">J200-G200*I200</f>
        <v>510</v>
      </c>
    </row>
    <row r="201" customFormat="false" ht="15" hidden="false" customHeight="false" outlineLevel="0" collapsed="false">
      <c r="A201" s="10" t="s">
        <v>244</v>
      </c>
      <c r="B201" s="11" t="n">
        <v>45604</v>
      </c>
      <c r="C201" s="10" t="s">
        <v>28</v>
      </c>
      <c r="D201" s="10" t="s">
        <v>29</v>
      </c>
      <c r="E201" s="10" t="s">
        <v>25</v>
      </c>
      <c r="F201" s="10" t="s">
        <v>34</v>
      </c>
      <c r="G201" s="10" t="n">
        <v>1</v>
      </c>
      <c r="H201" s="12" t="n">
        <v>450</v>
      </c>
      <c r="I201" s="12" t="n">
        <v>280</v>
      </c>
      <c r="J201" s="13" t="n">
        <f aca="false">G201*H201</f>
        <v>450</v>
      </c>
      <c r="K201" s="13" t="n">
        <f aca="false">J201-G201*I201</f>
        <v>170</v>
      </c>
    </row>
    <row r="202" customFormat="false" ht="15" hidden="false" customHeight="false" outlineLevel="0" collapsed="false">
      <c r="A202" s="10" t="s">
        <v>245</v>
      </c>
      <c r="B202" s="11" t="n">
        <v>45606</v>
      </c>
      <c r="C202" s="10" t="s">
        <v>28</v>
      </c>
      <c r="D202" s="10" t="s">
        <v>29</v>
      </c>
      <c r="E202" s="10" t="s">
        <v>38</v>
      </c>
      <c r="F202" s="10" t="s">
        <v>26</v>
      </c>
      <c r="G202" s="10" t="n">
        <v>3</v>
      </c>
      <c r="H202" s="12" t="n">
        <v>450</v>
      </c>
      <c r="I202" s="12" t="n">
        <v>280</v>
      </c>
      <c r="J202" s="13" t="n">
        <f aca="false">G202*H202</f>
        <v>1350</v>
      </c>
      <c r="K202" s="13" t="n">
        <f aca="false">J202-G202*I202</f>
        <v>510</v>
      </c>
    </row>
    <row r="203" customFormat="false" ht="15" hidden="false" customHeight="false" outlineLevel="0" collapsed="false">
      <c r="A203" s="10" t="s">
        <v>246</v>
      </c>
      <c r="B203" s="11" t="n">
        <v>45607</v>
      </c>
      <c r="C203" s="10" t="s">
        <v>23</v>
      </c>
      <c r="D203" s="10" t="s">
        <v>24</v>
      </c>
      <c r="E203" s="10" t="s">
        <v>33</v>
      </c>
      <c r="F203" s="10" t="s">
        <v>26</v>
      </c>
      <c r="G203" s="10" t="n">
        <v>4</v>
      </c>
      <c r="H203" s="12" t="n">
        <v>260</v>
      </c>
      <c r="I203" s="12" t="n">
        <v>180</v>
      </c>
      <c r="J203" s="13" t="n">
        <f aca="false">G203*H203</f>
        <v>1040</v>
      </c>
      <c r="K203" s="13" t="n">
        <f aca="false">J203-G203*I203</f>
        <v>320</v>
      </c>
    </row>
    <row r="204" customFormat="false" ht="15" hidden="false" customHeight="false" outlineLevel="0" collapsed="false">
      <c r="A204" s="10" t="s">
        <v>247</v>
      </c>
      <c r="B204" s="11" t="n">
        <v>45607</v>
      </c>
      <c r="C204" s="10" t="s">
        <v>41</v>
      </c>
      <c r="D204" s="10" t="s">
        <v>42</v>
      </c>
      <c r="E204" s="10" t="s">
        <v>38</v>
      </c>
      <c r="F204" s="10" t="s">
        <v>34</v>
      </c>
      <c r="G204" s="10" t="n">
        <v>4</v>
      </c>
      <c r="H204" s="12" t="n">
        <v>45</v>
      </c>
      <c r="I204" s="12" t="n">
        <v>20</v>
      </c>
      <c r="J204" s="13" t="n">
        <f aca="false">G204*H204</f>
        <v>180</v>
      </c>
      <c r="K204" s="13" t="n">
        <f aca="false">J204-G204*I204</f>
        <v>100</v>
      </c>
    </row>
    <row r="205" customFormat="false" ht="15" hidden="false" customHeight="false" outlineLevel="0" collapsed="false">
      <c r="A205" s="10" t="s">
        <v>248</v>
      </c>
      <c r="B205" s="11" t="n">
        <v>45608</v>
      </c>
      <c r="C205" s="10" t="s">
        <v>28</v>
      </c>
      <c r="D205" s="10" t="s">
        <v>29</v>
      </c>
      <c r="E205" s="10" t="s">
        <v>25</v>
      </c>
      <c r="F205" s="10" t="s">
        <v>26</v>
      </c>
      <c r="G205" s="10" t="n">
        <v>3</v>
      </c>
      <c r="H205" s="12" t="n">
        <v>450</v>
      </c>
      <c r="I205" s="12" t="n">
        <v>280</v>
      </c>
      <c r="J205" s="13" t="n">
        <f aca="false">G205*H205</f>
        <v>1350</v>
      </c>
      <c r="K205" s="13" t="n">
        <f aca="false">J205-G205*I205</f>
        <v>510</v>
      </c>
    </row>
    <row r="206" customFormat="false" ht="15" hidden="false" customHeight="false" outlineLevel="0" collapsed="false">
      <c r="A206" s="10" t="s">
        <v>249</v>
      </c>
      <c r="B206" s="11" t="n">
        <v>45610</v>
      </c>
      <c r="C206" s="10" t="s">
        <v>55</v>
      </c>
      <c r="D206" s="10" t="s">
        <v>24</v>
      </c>
      <c r="E206" s="10" t="s">
        <v>33</v>
      </c>
      <c r="F206" s="10" t="s">
        <v>26</v>
      </c>
      <c r="G206" s="10" t="n">
        <v>3</v>
      </c>
      <c r="H206" s="12" t="n">
        <v>280</v>
      </c>
      <c r="I206" s="12" t="n">
        <v>190</v>
      </c>
      <c r="J206" s="13" t="n">
        <f aca="false">G206*H206</f>
        <v>840</v>
      </c>
      <c r="K206" s="13" t="n">
        <f aca="false">J206-G206*I206</f>
        <v>270</v>
      </c>
    </row>
    <row r="207" customFormat="false" ht="15" hidden="false" customHeight="false" outlineLevel="0" collapsed="false">
      <c r="A207" s="10" t="s">
        <v>250</v>
      </c>
      <c r="B207" s="11" t="n">
        <v>45611</v>
      </c>
      <c r="C207" s="10" t="s">
        <v>49</v>
      </c>
      <c r="D207" s="10" t="s">
        <v>24</v>
      </c>
      <c r="E207" s="10" t="s">
        <v>38</v>
      </c>
      <c r="F207" s="10" t="s">
        <v>26</v>
      </c>
      <c r="G207" s="10" t="n">
        <v>4</v>
      </c>
      <c r="H207" s="12" t="n">
        <v>250</v>
      </c>
      <c r="I207" s="12" t="n">
        <v>170</v>
      </c>
      <c r="J207" s="13" t="n">
        <f aca="false">G207*H207</f>
        <v>1000</v>
      </c>
      <c r="K207" s="13" t="n">
        <f aca="false">J207-G207*I207</f>
        <v>320</v>
      </c>
    </row>
    <row r="208" customFormat="false" ht="15" hidden="false" customHeight="false" outlineLevel="0" collapsed="false">
      <c r="A208" s="10" t="s">
        <v>251</v>
      </c>
      <c r="B208" s="11" t="n">
        <v>45611</v>
      </c>
      <c r="C208" s="10" t="s">
        <v>49</v>
      </c>
      <c r="D208" s="10" t="s">
        <v>24</v>
      </c>
      <c r="E208" s="10" t="s">
        <v>57</v>
      </c>
      <c r="F208" s="10" t="s">
        <v>34</v>
      </c>
      <c r="G208" s="10" t="n">
        <v>2</v>
      </c>
      <c r="H208" s="12" t="n">
        <v>250</v>
      </c>
      <c r="I208" s="12" t="n">
        <v>170</v>
      </c>
      <c r="J208" s="13" t="n">
        <f aca="false">G208*H208</f>
        <v>500</v>
      </c>
      <c r="K208" s="13" t="n">
        <f aca="false">J208-G208*I208</f>
        <v>160</v>
      </c>
    </row>
    <row r="209" customFormat="false" ht="15" hidden="false" customHeight="false" outlineLevel="0" collapsed="false">
      <c r="A209" s="10" t="s">
        <v>252</v>
      </c>
      <c r="B209" s="11" t="n">
        <v>45613</v>
      </c>
      <c r="C209" s="10" t="s">
        <v>51</v>
      </c>
      <c r="D209" s="10" t="s">
        <v>42</v>
      </c>
      <c r="E209" s="10" t="s">
        <v>38</v>
      </c>
      <c r="F209" s="10" t="s">
        <v>26</v>
      </c>
      <c r="G209" s="10" t="n">
        <v>1</v>
      </c>
      <c r="H209" s="12" t="n">
        <v>130</v>
      </c>
      <c r="I209" s="12" t="n">
        <v>60</v>
      </c>
      <c r="J209" s="13" t="n">
        <f aca="false">G209*H209</f>
        <v>130</v>
      </c>
      <c r="K209" s="13" t="n">
        <f aca="false">J209-G209*I209</f>
        <v>70</v>
      </c>
    </row>
    <row r="210" customFormat="false" ht="15" hidden="false" customHeight="false" outlineLevel="0" collapsed="false">
      <c r="A210" s="10" t="s">
        <v>253</v>
      </c>
      <c r="B210" s="11" t="n">
        <v>45614</v>
      </c>
      <c r="C210" s="10" t="s">
        <v>28</v>
      </c>
      <c r="D210" s="10" t="s">
        <v>29</v>
      </c>
      <c r="E210" s="10" t="s">
        <v>38</v>
      </c>
      <c r="F210" s="10" t="s">
        <v>26</v>
      </c>
      <c r="G210" s="10" t="n">
        <v>1</v>
      </c>
      <c r="H210" s="12" t="n">
        <v>450</v>
      </c>
      <c r="I210" s="12" t="n">
        <v>280</v>
      </c>
      <c r="J210" s="13" t="n">
        <f aca="false">G210*H210</f>
        <v>450</v>
      </c>
      <c r="K210" s="13" t="n">
        <f aca="false">J210-G210*I210</f>
        <v>170</v>
      </c>
    </row>
    <row r="211" customFormat="false" ht="15" hidden="false" customHeight="false" outlineLevel="0" collapsed="false">
      <c r="A211" s="10" t="s">
        <v>254</v>
      </c>
      <c r="B211" s="11" t="n">
        <v>45617</v>
      </c>
      <c r="C211" s="10" t="s">
        <v>49</v>
      </c>
      <c r="D211" s="10" t="s">
        <v>24</v>
      </c>
      <c r="E211" s="10" t="s">
        <v>30</v>
      </c>
      <c r="F211" s="10" t="s">
        <v>26</v>
      </c>
      <c r="G211" s="10" t="n">
        <v>1</v>
      </c>
      <c r="H211" s="12" t="n">
        <v>250</v>
      </c>
      <c r="I211" s="12" t="n">
        <v>170</v>
      </c>
      <c r="J211" s="13" t="n">
        <f aca="false">G211*H211</f>
        <v>250</v>
      </c>
      <c r="K211" s="13" t="n">
        <f aca="false">J211-G211*I211</f>
        <v>80</v>
      </c>
    </row>
    <row r="212" customFormat="false" ht="15" hidden="false" customHeight="false" outlineLevel="0" collapsed="false">
      <c r="A212" s="10" t="s">
        <v>255</v>
      </c>
      <c r="B212" s="11" t="n">
        <v>45618</v>
      </c>
      <c r="C212" s="10" t="s">
        <v>101</v>
      </c>
      <c r="D212" s="10" t="s">
        <v>68</v>
      </c>
      <c r="E212" s="10" t="s">
        <v>30</v>
      </c>
      <c r="F212" s="10" t="s">
        <v>34</v>
      </c>
      <c r="G212" s="10" t="n">
        <v>2</v>
      </c>
      <c r="H212" s="12" t="n">
        <v>4200</v>
      </c>
      <c r="I212" s="12" t="n">
        <v>3300</v>
      </c>
      <c r="J212" s="13" t="n">
        <f aca="false">G212*H212</f>
        <v>8400</v>
      </c>
      <c r="K212" s="13" t="n">
        <f aca="false">J212-G212*I212</f>
        <v>1800</v>
      </c>
    </row>
    <row r="213" customFormat="false" ht="15" hidden="false" customHeight="false" outlineLevel="0" collapsed="false">
      <c r="A213" s="10" t="s">
        <v>256</v>
      </c>
      <c r="B213" s="11" t="n">
        <v>45618</v>
      </c>
      <c r="C213" s="10" t="s">
        <v>28</v>
      </c>
      <c r="D213" s="10" t="s">
        <v>29</v>
      </c>
      <c r="E213" s="10" t="s">
        <v>30</v>
      </c>
      <c r="F213" s="10" t="s">
        <v>26</v>
      </c>
      <c r="G213" s="10" t="n">
        <v>1</v>
      </c>
      <c r="H213" s="12" t="n">
        <v>450</v>
      </c>
      <c r="I213" s="12" t="n">
        <v>280</v>
      </c>
      <c r="J213" s="13" t="n">
        <f aca="false">G213*H213</f>
        <v>450</v>
      </c>
      <c r="K213" s="13" t="n">
        <f aca="false">J213-G213*I213</f>
        <v>170</v>
      </c>
    </row>
    <row r="214" customFormat="false" ht="15" hidden="false" customHeight="false" outlineLevel="0" collapsed="false">
      <c r="A214" s="10" t="s">
        <v>257</v>
      </c>
      <c r="B214" s="11" t="n">
        <v>45618</v>
      </c>
      <c r="C214" s="10" t="s">
        <v>49</v>
      </c>
      <c r="D214" s="10" t="s">
        <v>24</v>
      </c>
      <c r="E214" s="10" t="s">
        <v>38</v>
      </c>
      <c r="F214" s="10" t="s">
        <v>26</v>
      </c>
      <c r="G214" s="10" t="n">
        <v>4</v>
      </c>
      <c r="H214" s="12" t="n">
        <v>250</v>
      </c>
      <c r="I214" s="12" t="n">
        <v>170</v>
      </c>
      <c r="J214" s="13" t="n">
        <f aca="false">G214*H214</f>
        <v>1000</v>
      </c>
      <c r="K214" s="13" t="n">
        <f aca="false">J214-G214*I214</f>
        <v>320</v>
      </c>
    </row>
    <row r="215" customFormat="false" ht="15" hidden="false" customHeight="false" outlineLevel="0" collapsed="false">
      <c r="A215" s="10" t="s">
        <v>258</v>
      </c>
      <c r="B215" s="11" t="n">
        <v>45618</v>
      </c>
      <c r="C215" s="10" t="s">
        <v>53</v>
      </c>
      <c r="D215" s="10" t="s">
        <v>24</v>
      </c>
      <c r="E215" s="10" t="s">
        <v>38</v>
      </c>
      <c r="F215" s="10" t="s">
        <v>34</v>
      </c>
      <c r="G215" s="10" t="n">
        <v>3</v>
      </c>
      <c r="H215" s="12" t="n">
        <v>300</v>
      </c>
      <c r="I215" s="12" t="n">
        <v>200</v>
      </c>
      <c r="J215" s="13" t="n">
        <f aca="false">G215*H215</f>
        <v>900</v>
      </c>
      <c r="K215" s="13" t="n">
        <f aca="false">J215-G215*I215</f>
        <v>300</v>
      </c>
    </row>
    <row r="216" customFormat="false" ht="15" hidden="false" customHeight="false" outlineLevel="0" collapsed="false">
      <c r="A216" s="10" t="s">
        <v>259</v>
      </c>
      <c r="B216" s="11" t="n">
        <v>45618</v>
      </c>
      <c r="C216" s="10" t="s">
        <v>41</v>
      </c>
      <c r="D216" s="10" t="s">
        <v>42</v>
      </c>
      <c r="E216" s="10" t="s">
        <v>38</v>
      </c>
      <c r="F216" s="10" t="s">
        <v>26</v>
      </c>
      <c r="G216" s="10" t="n">
        <v>4</v>
      </c>
      <c r="H216" s="12" t="n">
        <v>45</v>
      </c>
      <c r="I216" s="12" t="n">
        <v>20</v>
      </c>
      <c r="J216" s="13" t="n">
        <f aca="false">G216*H216</f>
        <v>180</v>
      </c>
      <c r="K216" s="13" t="n">
        <f aca="false">J216-G216*I216</f>
        <v>100</v>
      </c>
    </row>
    <row r="217" customFormat="false" ht="15" hidden="false" customHeight="false" outlineLevel="0" collapsed="false">
      <c r="A217" s="10" t="s">
        <v>260</v>
      </c>
      <c r="B217" s="11" t="n">
        <v>45619</v>
      </c>
      <c r="C217" s="10" t="s">
        <v>55</v>
      </c>
      <c r="D217" s="10" t="s">
        <v>24</v>
      </c>
      <c r="E217" s="10" t="s">
        <v>25</v>
      </c>
      <c r="F217" s="10" t="s">
        <v>26</v>
      </c>
      <c r="G217" s="10" t="n">
        <v>4</v>
      </c>
      <c r="H217" s="12" t="n">
        <v>280</v>
      </c>
      <c r="I217" s="12" t="n">
        <v>190</v>
      </c>
      <c r="J217" s="13" t="n">
        <f aca="false">G217*H217</f>
        <v>1120</v>
      </c>
      <c r="K217" s="13" t="n">
        <f aca="false">J217-G217*I217</f>
        <v>360</v>
      </c>
    </row>
    <row r="218" customFormat="false" ht="15" hidden="false" customHeight="false" outlineLevel="0" collapsed="false">
      <c r="A218" s="10" t="s">
        <v>261</v>
      </c>
      <c r="B218" s="11" t="n">
        <v>45620</v>
      </c>
      <c r="C218" s="10" t="s">
        <v>49</v>
      </c>
      <c r="D218" s="10" t="s">
        <v>24</v>
      </c>
      <c r="E218" s="10" t="s">
        <v>38</v>
      </c>
      <c r="F218" s="10" t="s">
        <v>26</v>
      </c>
      <c r="G218" s="10" t="n">
        <v>3</v>
      </c>
      <c r="H218" s="12" t="n">
        <v>250</v>
      </c>
      <c r="I218" s="12" t="n">
        <v>170</v>
      </c>
      <c r="J218" s="13" t="n">
        <f aca="false">G218*H218</f>
        <v>750</v>
      </c>
      <c r="K218" s="13" t="n">
        <f aca="false">J218-G218*I218</f>
        <v>240</v>
      </c>
    </row>
    <row r="219" customFormat="false" ht="15" hidden="false" customHeight="false" outlineLevel="0" collapsed="false">
      <c r="A219" s="10" t="s">
        <v>262</v>
      </c>
      <c r="B219" s="11" t="n">
        <v>45620</v>
      </c>
      <c r="C219" s="10" t="s">
        <v>28</v>
      </c>
      <c r="D219" s="10" t="s">
        <v>29</v>
      </c>
      <c r="E219" s="10" t="s">
        <v>25</v>
      </c>
      <c r="F219" s="10" t="s">
        <v>26</v>
      </c>
      <c r="G219" s="10" t="n">
        <v>4</v>
      </c>
      <c r="H219" s="12" t="n">
        <v>450</v>
      </c>
      <c r="I219" s="12" t="n">
        <v>280</v>
      </c>
      <c r="J219" s="13" t="n">
        <f aca="false">G219*H219</f>
        <v>1800</v>
      </c>
      <c r="K219" s="13" t="n">
        <f aca="false">J219-G219*I219</f>
        <v>680</v>
      </c>
    </row>
    <row r="220" customFormat="false" ht="15" hidden="false" customHeight="false" outlineLevel="0" collapsed="false">
      <c r="A220" s="10" t="s">
        <v>263</v>
      </c>
      <c r="B220" s="11" t="n">
        <v>45621</v>
      </c>
      <c r="C220" s="10" t="s">
        <v>67</v>
      </c>
      <c r="D220" s="10" t="s">
        <v>68</v>
      </c>
      <c r="E220" s="10" t="s">
        <v>38</v>
      </c>
      <c r="F220" s="10" t="s">
        <v>34</v>
      </c>
      <c r="G220" s="10" t="n">
        <v>2</v>
      </c>
      <c r="H220" s="12" t="n">
        <v>2600</v>
      </c>
      <c r="I220" s="12" t="n">
        <v>2100</v>
      </c>
      <c r="J220" s="13" t="n">
        <f aca="false">G220*H220</f>
        <v>5200</v>
      </c>
      <c r="K220" s="13" t="n">
        <f aca="false">J220-G220*I220</f>
        <v>1000</v>
      </c>
    </row>
    <row r="221" customFormat="false" ht="15" hidden="false" customHeight="false" outlineLevel="0" collapsed="false">
      <c r="A221" s="10" t="s">
        <v>264</v>
      </c>
      <c r="B221" s="11" t="n">
        <v>45626</v>
      </c>
      <c r="C221" s="10" t="s">
        <v>32</v>
      </c>
      <c r="D221" s="10" t="s">
        <v>29</v>
      </c>
      <c r="E221" s="10" t="s">
        <v>38</v>
      </c>
      <c r="F221" s="10" t="s">
        <v>26</v>
      </c>
      <c r="G221" s="10" t="n">
        <v>4</v>
      </c>
      <c r="H221" s="12" t="n">
        <v>520</v>
      </c>
      <c r="I221" s="12" t="n">
        <v>300</v>
      </c>
      <c r="J221" s="13" t="n">
        <f aca="false">G221*H221</f>
        <v>2080</v>
      </c>
      <c r="K221" s="13" t="n">
        <f aca="false">J221-G221*I221</f>
        <v>880</v>
      </c>
    </row>
    <row r="222" customFormat="false" ht="15" hidden="false" customHeight="false" outlineLevel="0" collapsed="false">
      <c r="A222" s="10" t="s">
        <v>265</v>
      </c>
      <c r="B222" s="11" t="n">
        <v>45626</v>
      </c>
      <c r="C222" s="10" t="s">
        <v>41</v>
      </c>
      <c r="D222" s="10" t="s">
        <v>42</v>
      </c>
      <c r="E222" s="10" t="s">
        <v>38</v>
      </c>
      <c r="F222" s="10" t="s">
        <v>34</v>
      </c>
      <c r="G222" s="10" t="n">
        <v>2</v>
      </c>
      <c r="H222" s="12" t="n">
        <v>45</v>
      </c>
      <c r="I222" s="12" t="n">
        <v>20</v>
      </c>
      <c r="J222" s="13" t="n">
        <f aca="false">G222*H222</f>
        <v>90</v>
      </c>
      <c r="K222" s="13" t="n">
        <f aca="false">J222-G222*I222</f>
        <v>50</v>
      </c>
    </row>
    <row r="223" customFormat="false" ht="15" hidden="false" customHeight="false" outlineLevel="0" collapsed="false">
      <c r="A223" s="10" t="s">
        <v>266</v>
      </c>
      <c r="B223" s="11" t="n">
        <v>45628</v>
      </c>
      <c r="C223" s="10" t="s">
        <v>28</v>
      </c>
      <c r="D223" s="10" t="s">
        <v>29</v>
      </c>
      <c r="E223" s="10" t="s">
        <v>30</v>
      </c>
      <c r="F223" s="10" t="s">
        <v>34</v>
      </c>
      <c r="G223" s="10" t="n">
        <v>2</v>
      </c>
      <c r="H223" s="12" t="n">
        <v>450</v>
      </c>
      <c r="I223" s="12" t="n">
        <v>280</v>
      </c>
      <c r="J223" s="13" t="n">
        <f aca="false">G223*H223</f>
        <v>900</v>
      </c>
      <c r="K223" s="13" t="n">
        <f aca="false">J223-G223*I223</f>
        <v>340</v>
      </c>
    </row>
    <row r="224" customFormat="false" ht="15" hidden="false" customHeight="false" outlineLevel="0" collapsed="false">
      <c r="A224" s="10" t="s">
        <v>267</v>
      </c>
      <c r="B224" s="11" t="n">
        <v>45629</v>
      </c>
      <c r="C224" s="10" t="s">
        <v>51</v>
      </c>
      <c r="D224" s="10" t="s">
        <v>42</v>
      </c>
      <c r="E224" s="10" t="s">
        <v>33</v>
      </c>
      <c r="F224" s="10" t="s">
        <v>34</v>
      </c>
      <c r="G224" s="10" t="n">
        <v>4</v>
      </c>
      <c r="H224" s="12" t="n">
        <v>130</v>
      </c>
      <c r="I224" s="12" t="n">
        <v>60</v>
      </c>
      <c r="J224" s="13" t="n">
        <f aca="false">G224*H224</f>
        <v>520</v>
      </c>
      <c r="K224" s="13" t="n">
        <f aca="false">J224-G224*I224</f>
        <v>280</v>
      </c>
    </row>
    <row r="225" customFormat="false" ht="15" hidden="false" customHeight="false" outlineLevel="0" collapsed="false">
      <c r="A225" s="10" t="s">
        <v>268</v>
      </c>
      <c r="B225" s="11" t="n">
        <v>45630</v>
      </c>
      <c r="C225" s="10" t="s">
        <v>41</v>
      </c>
      <c r="D225" s="10" t="s">
        <v>42</v>
      </c>
      <c r="E225" s="10" t="s">
        <v>38</v>
      </c>
      <c r="F225" s="10" t="s">
        <v>34</v>
      </c>
      <c r="G225" s="10" t="n">
        <v>3</v>
      </c>
      <c r="H225" s="12" t="n">
        <v>45</v>
      </c>
      <c r="I225" s="12" t="n">
        <v>20</v>
      </c>
      <c r="J225" s="13" t="n">
        <f aca="false">G225*H225</f>
        <v>135</v>
      </c>
      <c r="K225" s="13" t="n">
        <f aca="false">J225-G225*I225</f>
        <v>75</v>
      </c>
    </row>
    <row r="226" customFormat="false" ht="15" hidden="false" customHeight="false" outlineLevel="0" collapsed="false">
      <c r="A226" s="10" t="s">
        <v>269</v>
      </c>
      <c r="B226" s="11" t="n">
        <v>45630</v>
      </c>
      <c r="C226" s="10" t="s">
        <v>28</v>
      </c>
      <c r="D226" s="10" t="s">
        <v>29</v>
      </c>
      <c r="E226" s="10" t="s">
        <v>38</v>
      </c>
      <c r="F226" s="10" t="s">
        <v>34</v>
      </c>
      <c r="G226" s="10" t="n">
        <v>1</v>
      </c>
      <c r="H226" s="12" t="n">
        <v>450</v>
      </c>
      <c r="I226" s="12" t="n">
        <v>280</v>
      </c>
      <c r="J226" s="13" t="n">
        <f aca="false">G226*H226</f>
        <v>450</v>
      </c>
      <c r="K226" s="13" t="n">
        <f aca="false">J226-G226*I226</f>
        <v>170</v>
      </c>
    </row>
    <row r="227" customFormat="false" ht="15" hidden="false" customHeight="false" outlineLevel="0" collapsed="false">
      <c r="A227" s="10" t="s">
        <v>270</v>
      </c>
      <c r="B227" s="11" t="n">
        <v>45630</v>
      </c>
      <c r="C227" s="10" t="s">
        <v>41</v>
      </c>
      <c r="D227" s="10" t="s">
        <v>42</v>
      </c>
      <c r="E227" s="10" t="s">
        <v>33</v>
      </c>
      <c r="F227" s="10" t="s">
        <v>26</v>
      </c>
      <c r="G227" s="10" t="n">
        <v>4</v>
      </c>
      <c r="H227" s="12" t="n">
        <v>45</v>
      </c>
      <c r="I227" s="12" t="n">
        <v>20</v>
      </c>
      <c r="J227" s="13" t="n">
        <f aca="false">G227*H227</f>
        <v>180</v>
      </c>
      <c r="K227" s="13" t="n">
        <f aca="false">J227-G227*I227</f>
        <v>100</v>
      </c>
    </row>
    <row r="228" customFormat="false" ht="15" hidden="false" customHeight="false" outlineLevel="0" collapsed="false">
      <c r="A228" s="10" t="s">
        <v>271</v>
      </c>
      <c r="B228" s="11" t="n">
        <v>45631</v>
      </c>
      <c r="C228" s="10" t="s">
        <v>55</v>
      </c>
      <c r="D228" s="10" t="s">
        <v>24</v>
      </c>
      <c r="E228" s="10" t="s">
        <v>38</v>
      </c>
      <c r="F228" s="10" t="s">
        <v>26</v>
      </c>
      <c r="G228" s="10" t="n">
        <v>2</v>
      </c>
      <c r="H228" s="12" t="n">
        <v>280</v>
      </c>
      <c r="I228" s="12" t="n">
        <v>190</v>
      </c>
      <c r="J228" s="13" t="n">
        <f aca="false">G228*H228</f>
        <v>560</v>
      </c>
      <c r="K228" s="13" t="n">
        <f aca="false">J228-G228*I228</f>
        <v>180</v>
      </c>
    </row>
    <row r="229" customFormat="false" ht="15" hidden="false" customHeight="false" outlineLevel="0" collapsed="false">
      <c r="A229" s="10" t="s">
        <v>272</v>
      </c>
      <c r="B229" s="11" t="n">
        <v>45633</v>
      </c>
      <c r="C229" s="10" t="s">
        <v>36</v>
      </c>
      <c r="D229" s="10" t="s">
        <v>29</v>
      </c>
      <c r="E229" s="10" t="s">
        <v>30</v>
      </c>
      <c r="F229" s="10" t="s">
        <v>34</v>
      </c>
      <c r="G229" s="10" t="n">
        <v>2</v>
      </c>
      <c r="H229" s="12" t="n">
        <v>380</v>
      </c>
      <c r="I229" s="12" t="n">
        <v>260</v>
      </c>
      <c r="J229" s="13" t="n">
        <f aca="false">G229*H229</f>
        <v>760</v>
      </c>
      <c r="K229" s="13" t="n">
        <f aca="false">J229-G229*I229</f>
        <v>240</v>
      </c>
    </row>
    <row r="230" customFormat="false" ht="15" hidden="false" customHeight="false" outlineLevel="0" collapsed="false">
      <c r="A230" s="10" t="s">
        <v>273</v>
      </c>
      <c r="B230" s="11" t="n">
        <v>45634</v>
      </c>
      <c r="C230" s="10" t="s">
        <v>55</v>
      </c>
      <c r="D230" s="10" t="s">
        <v>24</v>
      </c>
      <c r="E230" s="10" t="s">
        <v>25</v>
      </c>
      <c r="F230" s="10" t="s">
        <v>34</v>
      </c>
      <c r="G230" s="10" t="n">
        <v>1</v>
      </c>
      <c r="H230" s="12" t="n">
        <v>280</v>
      </c>
      <c r="I230" s="12" t="n">
        <v>190</v>
      </c>
      <c r="J230" s="13" t="n">
        <f aca="false">G230*H230</f>
        <v>280</v>
      </c>
      <c r="K230" s="13" t="n">
        <f aca="false">J230-G230*I230</f>
        <v>90</v>
      </c>
    </row>
    <row r="231" customFormat="false" ht="15" hidden="false" customHeight="false" outlineLevel="0" collapsed="false">
      <c r="A231" s="10" t="s">
        <v>274</v>
      </c>
      <c r="B231" s="11" t="n">
        <v>45634</v>
      </c>
      <c r="C231" s="10" t="s">
        <v>36</v>
      </c>
      <c r="D231" s="10" t="s">
        <v>29</v>
      </c>
      <c r="E231" s="10" t="s">
        <v>30</v>
      </c>
      <c r="F231" s="10" t="s">
        <v>26</v>
      </c>
      <c r="G231" s="10" t="n">
        <v>2</v>
      </c>
      <c r="H231" s="12" t="n">
        <v>380</v>
      </c>
      <c r="I231" s="12" t="n">
        <v>260</v>
      </c>
      <c r="J231" s="13" t="n">
        <f aca="false">G231*H231</f>
        <v>760</v>
      </c>
      <c r="K231" s="13" t="n">
        <f aca="false">J231-G231*I231</f>
        <v>240</v>
      </c>
    </row>
    <row r="232" customFormat="false" ht="15" hidden="false" customHeight="false" outlineLevel="0" collapsed="false">
      <c r="A232" s="10" t="s">
        <v>275</v>
      </c>
      <c r="B232" s="11" t="n">
        <v>45635</v>
      </c>
      <c r="C232" s="10" t="s">
        <v>55</v>
      </c>
      <c r="D232" s="10" t="s">
        <v>24</v>
      </c>
      <c r="E232" s="10" t="s">
        <v>25</v>
      </c>
      <c r="F232" s="10" t="s">
        <v>34</v>
      </c>
      <c r="G232" s="10" t="n">
        <v>1</v>
      </c>
      <c r="H232" s="12" t="n">
        <v>280</v>
      </c>
      <c r="I232" s="12" t="n">
        <v>190</v>
      </c>
      <c r="J232" s="13" t="n">
        <f aca="false">G232*H232</f>
        <v>280</v>
      </c>
      <c r="K232" s="13" t="n">
        <f aca="false">J232-G232*I232</f>
        <v>90</v>
      </c>
    </row>
    <row r="233" customFormat="false" ht="15" hidden="false" customHeight="false" outlineLevel="0" collapsed="false">
      <c r="A233" s="10" t="s">
        <v>276</v>
      </c>
      <c r="B233" s="11" t="n">
        <v>45636</v>
      </c>
      <c r="C233" s="10" t="s">
        <v>28</v>
      </c>
      <c r="D233" s="10" t="s">
        <v>29</v>
      </c>
      <c r="E233" s="10" t="s">
        <v>57</v>
      </c>
      <c r="F233" s="10" t="s">
        <v>26</v>
      </c>
      <c r="G233" s="10" t="n">
        <v>3</v>
      </c>
      <c r="H233" s="12" t="n">
        <v>450</v>
      </c>
      <c r="I233" s="12" t="n">
        <v>280</v>
      </c>
      <c r="J233" s="13" t="n">
        <f aca="false">G233*H233</f>
        <v>1350</v>
      </c>
      <c r="K233" s="13" t="n">
        <f aca="false">J233-G233*I233</f>
        <v>510</v>
      </c>
    </row>
    <row r="234" customFormat="false" ht="15" hidden="false" customHeight="false" outlineLevel="0" collapsed="false">
      <c r="A234" s="10" t="s">
        <v>277</v>
      </c>
      <c r="B234" s="11" t="n">
        <v>45636</v>
      </c>
      <c r="C234" s="10" t="s">
        <v>36</v>
      </c>
      <c r="D234" s="10" t="s">
        <v>29</v>
      </c>
      <c r="E234" s="10" t="s">
        <v>38</v>
      </c>
      <c r="F234" s="10" t="s">
        <v>26</v>
      </c>
      <c r="G234" s="10" t="n">
        <v>3</v>
      </c>
      <c r="H234" s="12" t="n">
        <v>380</v>
      </c>
      <c r="I234" s="12" t="n">
        <v>260</v>
      </c>
      <c r="J234" s="13" t="n">
        <f aca="false">G234*H234</f>
        <v>1140</v>
      </c>
      <c r="K234" s="13" t="n">
        <f aca="false">J234-G234*I234</f>
        <v>360</v>
      </c>
    </row>
    <row r="235" customFormat="false" ht="15" hidden="false" customHeight="false" outlineLevel="0" collapsed="false">
      <c r="A235" s="10" t="s">
        <v>278</v>
      </c>
      <c r="B235" s="11" t="n">
        <v>45636</v>
      </c>
      <c r="C235" s="10" t="s">
        <v>23</v>
      </c>
      <c r="D235" s="10" t="s">
        <v>24</v>
      </c>
      <c r="E235" s="10" t="s">
        <v>57</v>
      </c>
      <c r="F235" s="10" t="s">
        <v>34</v>
      </c>
      <c r="G235" s="10" t="n">
        <v>2</v>
      </c>
      <c r="H235" s="12" t="n">
        <v>260</v>
      </c>
      <c r="I235" s="12" t="n">
        <v>180</v>
      </c>
      <c r="J235" s="13" t="n">
        <f aca="false">G235*H235</f>
        <v>520</v>
      </c>
      <c r="K235" s="13" t="n">
        <f aca="false">J235-G235*I235</f>
        <v>160</v>
      </c>
    </row>
    <row r="236" customFormat="false" ht="15" hidden="false" customHeight="false" outlineLevel="0" collapsed="false">
      <c r="A236" s="10" t="s">
        <v>279</v>
      </c>
      <c r="B236" s="11" t="n">
        <v>45638</v>
      </c>
      <c r="C236" s="10" t="s">
        <v>55</v>
      </c>
      <c r="D236" s="10" t="s">
        <v>24</v>
      </c>
      <c r="E236" s="10" t="s">
        <v>38</v>
      </c>
      <c r="F236" s="10" t="s">
        <v>26</v>
      </c>
      <c r="G236" s="10" t="n">
        <v>3</v>
      </c>
      <c r="H236" s="12" t="n">
        <v>280</v>
      </c>
      <c r="I236" s="12" t="n">
        <v>190</v>
      </c>
      <c r="J236" s="13" t="n">
        <f aca="false">G236*H236</f>
        <v>840</v>
      </c>
      <c r="K236" s="13" t="n">
        <f aca="false">J236-G236*I236</f>
        <v>270</v>
      </c>
    </row>
    <row r="237" customFormat="false" ht="15" hidden="false" customHeight="false" outlineLevel="0" collapsed="false">
      <c r="A237" s="10" t="s">
        <v>280</v>
      </c>
      <c r="B237" s="11" t="n">
        <v>45638</v>
      </c>
      <c r="C237" s="10" t="s">
        <v>51</v>
      </c>
      <c r="D237" s="10" t="s">
        <v>42</v>
      </c>
      <c r="E237" s="10" t="s">
        <v>38</v>
      </c>
      <c r="F237" s="10" t="s">
        <v>26</v>
      </c>
      <c r="G237" s="10" t="n">
        <v>1</v>
      </c>
      <c r="H237" s="12" t="n">
        <v>130</v>
      </c>
      <c r="I237" s="12" t="n">
        <v>60</v>
      </c>
      <c r="J237" s="13" t="n">
        <f aca="false">G237*H237</f>
        <v>130</v>
      </c>
      <c r="K237" s="13" t="n">
        <f aca="false">J237-G237*I237</f>
        <v>70</v>
      </c>
    </row>
    <row r="238" customFormat="false" ht="15" hidden="false" customHeight="false" outlineLevel="0" collapsed="false">
      <c r="A238" s="10" t="s">
        <v>281</v>
      </c>
      <c r="B238" s="11" t="n">
        <v>45638</v>
      </c>
      <c r="C238" s="10" t="s">
        <v>49</v>
      </c>
      <c r="D238" s="10" t="s">
        <v>24</v>
      </c>
      <c r="E238" s="10" t="s">
        <v>33</v>
      </c>
      <c r="F238" s="10" t="s">
        <v>26</v>
      </c>
      <c r="G238" s="10" t="n">
        <v>2</v>
      </c>
      <c r="H238" s="12" t="n">
        <v>250</v>
      </c>
      <c r="I238" s="12" t="n">
        <v>170</v>
      </c>
      <c r="J238" s="13" t="n">
        <f aca="false">G238*H238</f>
        <v>500</v>
      </c>
      <c r="K238" s="13" t="n">
        <f aca="false">J238-G238*I238</f>
        <v>160</v>
      </c>
    </row>
    <row r="239" customFormat="false" ht="15" hidden="false" customHeight="false" outlineLevel="0" collapsed="false">
      <c r="A239" s="10" t="s">
        <v>282</v>
      </c>
      <c r="B239" s="11" t="n">
        <v>45638</v>
      </c>
      <c r="C239" s="10" t="s">
        <v>28</v>
      </c>
      <c r="D239" s="10" t="s">
        <v>29</v>
      </c>
      <c r="E239" s="10" t="s">
        <v>38</v>
      </c>
      <c r="F239" s="10" t="s">
        <v>34</v>
      </c>
      <c r="G239" s="10" t="n">
        <v>3</v>
      </c>
      <c r="H239" s="12" t="n">
        <v>450</v>
      </c>
      <c r="I239" s="12" t="n">
        <v>280</v>
      </c>
      <c r="J239" s="13" t="n">
        <f aca="false">G239*H239</f>
        <v>1350</v>
      </c>
      <c r="K239" s="13" t="n">
        <f aca="false">J239-G239*I239</f>
        <v>510</v>
      </c>
    </row>
    <row r="240" customFormat="false" ht="15" hidden="false" customHeight="false" outlineLevel="0" collapsed="false">
      <c r="A240" s="10" t="s">
        <v>283</v>
      </c>
      <c r="B240" s="11" t="n">
        <v>45639</v>
      </c>
      <c r="C240" s="10" t="s">
        <v>36</v>
      </c>
      <c r="D240" s="10" t="s">
        <v>29</v>
      </c>
      <c r="E240" s="10" t="s">
        <v>30</v>
      </c>
      <c r="F240" s="10" t="s">
        <v>26</v>
      </c>
      <c r="G240" s="10" t="n">
        <v>1</v>
      </c>
      <c r="H240" s="12" t="n">
        <v>380</v>
      </c>
      <c r="I240" s="12" t="n">
        <v>260</v>
      </c>
      <c r="J240" s="13" t="n">
        <f aca="false">G240*H240</f>
        <v>380</v>
      </c>
      <c r="K240" s="13" t="n">
        <f aca="false">J240-G240*I240</f>
        <v>120</v>
      </c>
    </row>
    <row r="241" customFormat="false" ht="15" hidden="false" customHeight="false" outlineLevel="0" collapsed="false">
      <c r="A241" s="10" t="s">
        <v>284</v>
      </c>
      <c r="B241" s="11" t="n">
        <v>45639</v>
      </c>
      <c r="C241" s="10" t="s">
        <v>84</v>
      </c>
      <c r="D241" s="10" t="s">
        <v>42</v>
      </c>
      <c r="E241" s="10" t="s">
        <v>38</v>
      </c>
      <c r="F241" s="10" t="s">
        <v>26</v>
      </c>
      <c r="G241" s="10" t="n">
        <v>1</v>
      </c>
      <c r="H241" s="12" t="n">
        <v>480</v>
      </c>
      <c r="I241" s="12" t="n">
        <v>220</v>
      </c>
      <c r="J241" s="13" t="n">
        <f aca="false">G241*H241</f>
        <v>480</v>
      </c>
      <c r="K241" s="13" t="n">
        <f aca="false">J241-G241*I241</f>
        <v>260</v>
      </c>
    </row>
    <row r="242" customFormat="false" ht="15" hidden="false" customHeight="false" outlineLevel="0" collapsed="false">
      <c r="A242" s="10" t="s">
        <v>285</v>
      </c>
      <c r="B242" s="11" t="n">
        <v>45640</v>
      </c>
      <c r="C242" s="10" t="s">
        <v>101</v>
      </c>
      <c r="D242" s="10" t="s">
        <v>68</v>
      </c>
      <c r="E242" s="10" t="s">
        <v>38</v>
      </c>
      <c r="F242" s="10" t="s">
        <v>26</v>
      </c>
      <c r="G242" s="10" t="n">
        <v>1</v>
      </c>
      <c r="H242" s="12" t="n">
        <v>4200</v>
      </c>
      <c r="I242" s="12" t="n">
        <v>3300</v>
      </c>
      <c r="J242" s="13" t="n">
        <f aca="false">G242*H242</f>
        <v>4200</v>
      </c>
      <c r="K242" s="13" t="n">
        <f aca="false">J242-G242*I242</f>
        <v>900</v>
      </c>
    </row>
    <row r="243" customFormat="false" ht="15" hidden="false" customHeight="false" outlineLevel="0" collapsed="false">
      <c r="A243" s="10" t="s">
        <v>286</v>
      </c>
      <c r="B243" s="11" t="n">
        <v>45641</v>
      </c>
      <c r="C243" s="10" t="s">
        <v>55</v>
      </c>
      <c r="D243" s="10" t="s">
        <v>24</v>
      </c>
      <c r="E243" s="10" t="s">
        <v>30</v>
      </c>
      <c r="F243" s="10" t="s">
        <v>34</v>
      </c>
      <c r="G243" s="10" t="n">
        <v>4</v>
      </c>
      <c r="H243" s="12" t="n">
        <v>280</v>
      </c>
      <c r="I243" s="12" t="n">
        <v>190</v>
      </c>
      <c r="J243" s="13" t="n">
        <f aca="false">G243*H243</f>
        <v>1120</v>
      </c>
      <c r="K243" s="13" t="n">
        <f aca="false">J243-G243*I243</f>
        <v>360</v>
      </c>
    </row>
    <row r="244" customFormat="false" ht="15" hidden="false" customHeight="false" outlineLevel="0" collapsed="false">
      <c r="A244" s="10" t="s">
        <v>287</v>
      </c>
      <c r="B244" s="11" t="n">
        <v>45641</v>
      </c>
      <c r="C244" s="10" t="s">
        <v>51</v>
      </c>
      <c r="D244" s="10" t="s">
        <v>42</v>
      </c>
      <c r="E244" s="10" t="s">
        <v>33</v>
      </c>
      <c r="F244" s="10" t="s">
        <v>34</v>
      </c>
      <c r="G244" s="10" t="n">
        <v>4</v>
      </c>
      <c r="H244" s="12" t="n">
        <v>130</v>
      </c>
      <c r="I244" s="12" t="n">
        <v>60</v>
      </c>
      <c r="J244" s="13" t="n">
        <f aca="false">G244*H244</f>
        <v>520</v>
      </c>
      <c r="K244" s="13" t="n">
        <f aca="false">J244-G244*I244</f>
        <v>280</v>
      </c>
    </row>
    <row r="245" customFormat="false" ht="15" hidden="false" customHeight="false" outlineLevel="0" collapsed="false">
      <c r="A245" s="10" t="s">
        <v>288</v>
      </c>
      <c r="B245" s="11" t="n">
        <v>45643</v>
      </c>
      <c r="C245" s="10" t="s">
        <v>49</v>
      </c>
      <c r="D245" s="10" t="s">
        <v>24</v>
      </c>
      <c r="E245" s="10" t="s">
        <v>33</v>
      </c>
      <c r="F245" s="10" t="s">
        <v>34</v>
      </c>
      <c r="G245" s="10" t="n">
        <v>4</v>
      </c>
      <c r="H245" s="12" t="n">
        <v>250</v>
      </c>
      <c r="I245" s="12" t="n">
        <v>170</v>
      </c>
      <c r="J245" s="13" t="n">
        <f aca="false">G245*H245</f>
        <v>1000</v>
      </c>
      <c r="K245" s="13" t="n">
        <f aca="false">J245-G245*I245</f>
        <v>320</v>
      </c>
    </row>
    <row r="246" customFormat="false" ht="15" hidden="false" customHeight="false" outlineLevel="0" collapsed="false">
      <c r="A246" s="10" t="s">
        <v>289</v>
      </c>
      <c r="B246" s="11" t="n">
        <v>45644</v>
      </c>
      <c r="C246" s="10" t="s">
        <v>84</v>
      </c>
      <c r="D246" s="10" t="s">
        <v>42</v>
      </c>
      <c r="E246" s="10" t="s">
        <v>38</v>
      </c>
      <c r="F246" s="10" t="s">
        <v>34</v>
      </c>
      <c r="G246" s="10" t="n">
        <v>1</v>
      </c>
      <c r="H246" s="12" t="n">
        <v>480</v>
      </c>
      <c r="I246" s="12" t="n">
        <v>220</v>
      </c>
      <c r="J246" s="13" t="n">
        <f aca="false">G246*H246</f>
        <v>480</v>
      </c>
      <c r="K246" s="13" t="n">
        <f aca="false">J246-G246*I246</f>
        <v>260</v>
      </c>
    </row>
    <row r="247" customFormat="false" ht="15" hidden="false" customHeight="false" outlineLevel="0" collapsed="false">
      <c r="A247" s="10" t="s">
        <v>290</v>
      </c>
      <c r="B247" s="11" t="n">
        <v>45645</v>
      </c>
      <c r="C247" s="10" t="s">
        <v>55</v>
      </c>
      <c r="D247" s="10" t="s">
        <v>24</v>
      </c>
      <c r="E247" s="10" t="s">
        <v>30</v>
      </c>
      <c r="F247" s="10" t="s">
        <v>34</v>
      </c>
      <c r="G247" s="10" t="n">
        <v>1</v>
      </c>
      <c r="H247" s="12" t="n">
        <v>280</v>
      </c>
      <c r="I247" s="12" t="n">
        <v>190</v>
      </c>
      <c r="J247" s="13" t="n">
        <f aca="false">G247*H247</f>
        <v>280</v>
      </c>
      <c r="K247" s="13" t="n">
        <f aca="false">J247-G247*I247</f>
        <v>90</v>
      </c>
    </row>
    <row r="248" customFormat="false" ht="15" hidden="false" customHeight="false" outlineLevel="0" collapsed="false">
      <c r="A248" s="10" t="s">
        <v>291</v>
      </c>
      <c r="B248" s="11" t="n">
        <v>45645</v>
      </c>
      <c r="C248" s="10" t="s">
        <v>41</v>
      </c>
      <c r="D248" s="10" t="s">
        <v>42</v>
      </c>
      <c r="E248" s="10" t="s">
        <v>38</v>
      </c>
      <c r="F248" s="10" t="s">
        <v>26</v>
      </c>
      <c r="G248" s="10" t="n">
        <v>1</v>
      </c>
      <c r="H248" s="12" t="n">
        <v>45</v>
      </c>
      <c r="I248" s="12" t="n">
        <v>20</v>
      </c>
      <c r="J248" s="13" t="n">
        <f aca="false">G248*H248</f>
        <v>45</v>
      </c>
      <c r="K248" s="13" t="n">
        <f aca="false">J248-G248*I248</f>
        <v>25</v>
      </c>
    </row>
    <row r="249" customFormat="false" ht="15" hidden="false" customHeight="false" outlineLevel="0" collapsed="false">
      <c r="A249" s="10" t="s">
        <v>292</v>
      </c>
      <c r="B249" s="11" t="n">
        <v>45647</v>
      </c>
      <c r="C249" s="10" t="s">
        <v>51</v>
      </c>
      <c r="D249" s="10" t="s">
        <v>42</v>
      </c>
      <c r="E249" s="10" t="s">
        <v>57</v>
      </c>
      <c r="F249" s="10" t="s">
        <v>26</v>
      </c>
      <c r="G249" s="10" t="n">
        <v>1</v>
      </c>
      <c r="H249" s="12" t="n">
        <v>130</v>
      </c>
      <c r="I249" s="12" t="n">
        <v>60</v>
      </c>
      <c r="J249" s="13" t="n">
        <f aca="false">G249*H249</f>
        <v>130</v>
      </c>
      <c r="K249" s="13" t="n">
        <f aca="false">J249-G249*I249</f>
        <v>70</v>
      </c>
    </row>
    <row r="250" customFormat="false" ht="15" hidden="false" customHeight="false" outlineLevel="0" collapsed="false">
      <c r="A250" s="10" t="s">
        <v>293</v>
      </c>
      <c r="B250" s="11" t="n">
        <v>45647</v>
      </c>
      <c r="C250" s="10" t="s">
        <v>23</v>
      </c>
      <c r="D250" s="10" t="s">
        <v>24</v>
      </c>
      <c r="E250" s="10" t="s">
        <v>38</v>
      </c>
      <c r="F250" s="10" t="s">
        <v>26</v>
      </c>
      <c r="G250" s="10" t="n">
        <v>2</v>
      </c>
      <c r="H250" s="12" t="n">
        <v>260</v>
      </c>
      <c r="I250" s="12" t="n">
        <v>180</v>
      </c>
      <c r="J250" s="13" t="n">
        <f aca="false">G250*H250</f>
        <v>520</v>
      </c>
      <c r="K250" s="13" t="n">
        <f aca="false">J250-G250*I250</f>
        <v>160</v>
      </c>
    </row>
    <row r="251" customFormat="false" ht="15" hidden="false" customHeight="false" outlineLevel="0" collapsed="false">
      <c r="A251" s="10" t="s">
        <v>294</v>
      </c>
      <c r="B251" s="11" t="n">
        <v>45647</v>
      </c>
      <c r="C251" s="10" t="s">
        <v>67</v>
      </c>
      <c r="D251" s="10" t="s">
        <v>68</v>
      </c>
      <c r="E251" s="10" t="s">
        <v>38</v>
      </c>
      <c r="F251" s="10" t="s">
        <v>26</v>
      </c>
      <c r="G251" s="10" t="n">
        <v>2</v>
      </c>
      <c r="H251" s="12" t="n">
        <v>2600</v>
      </c>
      <c r="I251" s="12" t="n">
        <v>2100</v>
      </c>
      <c r="J251" s="13" t="n">
        <f aca="false">G251*H251</f>
        <v>5200</v>
      </c>
      <c r="K251" s="13" t="n">
        <f aca="false">J251-G251*I251</f>
        <v>1000</v>
      </c>
    </row>
    <row r="252" customFormat="false" ht="15" hidden="false" customHeight="false" outlineLevel="0" collapsed="false">
      <c r="A252" s="10" t="s">
        <v>295</v>
      </c>
      <c r="B252" s="11" t="n">
        <v>45649</v>
      </c>
      <c r="C252" s="10" t="s">
        <v>53</v>
      </c>
      <c r="D252" s="10" t="s">
        <v>24</v>
      </c>
      <c r="E252" s="10" t="s">
        <v>38</v>
      </c>
      <c r="F252" s="10" t="s">
        <v>26</v>
      </c>
      <c r="G252" s="10" t="n">
        <v>2</v>
      </c>
      <c r="H252" s="12" t="n">
        <v>300</v>
      </c>
      <c r="I252" s="12" t="n">
        <v>200</v>
      </c>
      <c r="J252" s="13" t="n">
        <f aca="false">G252*H252</f>
        <v>600</v>
      </c>
      <c r="K252" s="13" t="n">
        <f aca="false">J252-G252*I252</f>
        <v>200</v>
      </c>
    </row>
    <row r="253" customFormat="false" ht="15" hidden="false" customHeight="false" outlineLevel="0" collapsed="false">
      <c r="A253" s="10" t="s">
        <v>296</v>
      </c>
      <c r="B253" s="11" t="n">
        <v>45650</v>
      </c>
      <c r="C253" s="10" t="s">
        <v>53</v>
      </c>
      <c r="D253" s="10" t="s">
        <v>24</v>
      </c>
      <c r="E253" s="10" t="s">
        <v>30</v>
      </c>
      <c r="F253" s="10" t="s">
        <v>34</v>
      </c>
      <c r="G253" s="10" t="n">
        <v>3</v>
      </c>
      <c r="H253" s="12" t="n">
        <v>300</v>
      </c>
      <c r="I253" s="12" t="n">
        <v>200</v>
      </c>
      <c r="J253" s="13" t="n">
        <f aca="false">G253*H253</f>
        <v>900</v>
      </c>
      <c r="K253" s="13" t="n">
        <f aca="false">J253-G253*I253</f>
        <v>300</v>
      </c>
    </row>
    <row r="254" customFormat="false" ht="15" hidden="false" customHeight="false" outlineLevel="0" collapsed="false">
      <c r="A254" s="10" t="s">
        <v>297</v>
      </c>
      <c r="B254" s="11" t="n">
        <v>45651</v>
      </c>
      <c r="C254" s="10" t="s">
        <v>23</v>
      </c>
      <c r="D254" s="10" t="s">
        <v>24</v>
      </c>
      <c r="E254" s="10" t="s">
        <v>30</v>
      </c>
      <c r="F254" s="10" t="s">
        <v>26</v>
      </c>
      <c r="G254" s="10" t="n">
        <v>1</v>
      </c>
      <c r="H254" s="12" t="n">
        <v>260</v>
      </c>
      <c r="I254" s="12" t="n">
        <v>180</v>
      </c>
      <c r="J254" s="13" t="n">
        <f aca="false">G254*H254</f>
        <v>260</v>
      </c>
      <c r="K254" s="13" t="n">
        <f aca="false">J254-G254*I254</f>
        <v>80</v>
      </c>
    </row>
    <row r="255" customFormat="false" ht="15" hidden="false" customHeight="false" outlineLevel="0" collapsed="false">
      <c r="A255" s="10" t="s">
        <v>298</v>
      </c>
      <c r="B255" s="11" t="n">
        <v>45651</v>
      </c>
      <c r="C255" s="10" t="s">
        <v>28</v>
      </c>
      <c r="D255" s="10" t="s">
        <v>29</v>
      </c>
      <c r="E255" s="10" t="s">
        <v>38</v>
      </c>
      <c r="F255" s="10" t="s">
        <v>34</v>
      </c>
      <c r="G255" s="10" t="n">
        <v>4</v>
      </c>
      <c r="H255" s="12" t="n">
        <v>450</v>
      </c>
      <c r="I255" s="12" t="n">
        <v>280</v>
      </c>
      <c r="J255" s="13" t="n">
        <f aca="false">G255*H255</f>
        <v>1800</v>
      </c>
      <c r="K255" s="13" t="n">
        <f aca="false">J255-G255*I255</f>
        <v>680</v>
      </c>
    </row>
    <row r="256" customFormat="false" ht="15" hidden="false" customHeight="false" outlineLevel="0" collapsed="false">
      <c r="A256" s="10" t="s">
        <v>299</v>
      </c>
      <c r="B256" s="11" t="n">
        <v>45651</v>
      </c>
      <c r="C256" s="10" t="s">
        <v>49</v>
      </c>
      <c r="D256" s="10" t="s">
        <v>24</v>
      </c>
      <c r="E256" s="10" t="s">
        <v>38</v>
      </c>
      <c r="F256" s="10" t="s">
        <v>34</v>
      </c>
      <c r="G256" s="10" t="n">
        <v>2</v>
      </c>
      <c r="H256" s="12" t="n">
        <v>250</v>
      </c>
      <c r="I256" s="12" t="n">
        <v>170</v>
      </c>
      <c r="J256" s="13" t="n">
        <f aca="false">G256*H256</f>
        <v>500</v>
      </c>
      <c r="K256" s="13" t="n">
        <f aca="false">J256-G256*I256</f>
        <v>160</v>
      </c>
    </row>
    <row r="257" customFormat="false" ht="15" hidden="false" customHeight="false" outlineLevel="0" collapsed="false">
      <c r="A257" s="10" t="s">
        <v>300</v>
      </c>
      <c r="B257" s="11" t="n">
        <v>45652</v>
      </c>
      <c r="C257" s="10" t="s">
        <v>55</v>
      </c>
      <c r="D257" s="10" t="s">
        <v>24</v>
      </c>
      <c r="E257" s="10" t="s">
        <v>25</v>
      </c>
      <c r="F257" s="10" t="s">
        <v>34</v>
      </c>
      <c r="G257" s="10" t="n">
        <v>1</v>
      </c>
      <c r="H257" s="12" t="n">
        <v>280</v>
      </c>
      <c r="I257" s="12" t="n">
        <v>190</v>
      </c>
      <c r="J257" s="13" t="n">
        <f aca="false">G257*H257</f>
        <v>280</v>
      </c>
      <c r="K257" s="13" t="n">
        <f aca="false">J257-G257*I257</f>
        <v>90</v>
      </c>
    </row>
    <row r="258" customFormat="false" ht="15" hidden="false" customHeight="false" outlineLevel="0" collapsed="false">
      <c r="A258" s="10" t="s">
        <v>301</v>
      </c>
      <c r="B258" s="11" t="n">
        <v>45652</v>
      </c>
      <c r="C258" s="10" t="s">
        <v>28</v>
      </c>
      <c r="D258" s="10" t="s">
        <v>29</v>
      </c>
      <c r="E258" s="10" t="s">
        <v>30</v>
      </c>
      <c r="F258" s="10" t="s">
        <v>26</v>
      </c>
      <c r="G258" s="10" t="n">
        <v>4</v>
      </c>
      <c r="H258" s="12" t="n">
        <v>450</v>
      </c>
      <c r="I258" s="12" t="n">
        <v>280</v>
      </c>
      <c r="J258" s="13" t="n">
        <f aca="false">G258*H258</f>
        <v>1800</v>
      </c>
      <c r="K258" s="13" t="n">
        <f aca="false">J258-G258*I258</f>
        <v>680</v>
      </c>
    </row>
    <row r="259" customFormat="false" ht="15" hidden="false" customHeight="false" outlineLevel="0" collapsed="false">
      <c r="A259" s="10" t="s">
        <v>302</v>
      </c>
      <c r="B259" s="11" t="n">
        <v>45653</v>
      </c>
      <c r="C259" s="10" t="s">
        <v>41</v>
      </c>
      <c r="D259" s="10" t="s">
        <v>42</v>
      </c>
      <c r="E259" s="10" t="s">
        <v>33</v>
      </c>
      <c r="F259" s="10" t="s">
        <v>34</v>
      </c>
      <c r="G259" s="10" t="n">
        <v>1</v>
      </c>
      <c r="H259" s="12" t="n">
        <v>45</v>
      </c>
      <c r="I259" s="12" t="n">
        <v>20</v>
      </c>
      <c r="J259" s="13" t="n">
        <f aca="false">G259*H259</f>
        <v>45</v>
      </c>
      <c r="K259" s="13" t="n">
        <f aca="false">J259-G259*I259</f>
        <v>25</v>
      </c>
    </row>
    <row r="260" customFormat="false" ht="15" hidden="false" customHeight="false" outlineLevel="0" collapsed="false">
      <c r="A260" s="10" t="s">
        <v>303</v>
      </c>
      <c r="B260" s="11" t="n">
        <v>45654</v>
      </c>
      <c r="C260" s="10" t="s">
        <v>53</v>
      </c>
      <c r="D260" s="10" t="s">
        <v>24</v>
      </c>
      <c r="E260" s="10" t="s">
        <v>38</v>
      </c>
      <c r="F260" s="10" t="s">
        <v>26</v>
      </c>
      <c r="G260" s="10" t="n">
        <v>1</v>
      </c>
      <c r="H260" s="12" t="n">
        <v>300</v>
      </c>
      <c r="I260" s="12" t="n">
        <v>200</v>
      </c>
      <c r="J260" s="13" t="n">
        <f aca="false">G260*H260</f>
        <v>300</v>
      </c>
      <c r="K260" s="13" t="n">
        <f aca="false">J260-G260*I260</f>
        <v>100</v>
      </c>
    </row>
    <row r="261" customFormat="false" ht="15" hidden="false" customHeight="false" outlineLevel="0" collapsed="false">
      <c r="A261" s="10" t="s">
        <v>304</v>
      </c>
      <c r="B261" s="11" t="n">
        <v>45654</v>
      </c>
      <c r="C261" s="10" t="s">
        <v>36</v>
      </c>
      <c r="D261" s="10" t="s">
        <v>29</v>
      </c>
      <c r="E261" s="10" t="s">
        <v>33</v>
      </c>
      <c r="F261" s="10" t="s">
        <v>34</v>
      </c>
      <c r="G261" s="10" t="n">
        <v>3</v>
      </c>
      <c r="H261" s="12" t="n">
        <v>380</v>
      </c>
      <c r="I261" s="12" t="n">
        <v>260</v>
      </c>
      <c r="J261" s="13" t="n">
        <f aca="false">G261*H261</f>
        <v>1140</v>
      </c>
      <c r="K261" s="13" t="n">
        <f aca="false">J261-G261*I261</f>
        <v>360</v>
      </c>
    </row>
    <row r="262" customFormat="false" ht="15" hidden="false" customHeight="false" outlineLevel="0" collapsed="false">
      <c r="A262" s="10" t="s">
        <v>305</v>
      </c>
      <c r="B262" s="11" t="n">
        <v>45654</v>
      </c>
      <c r="C262" s="10" t="s">
        <v>53</v>
      </c>
      <c r="D262" s="10" t="s">
        <v>24</v>
      </c>
      <c r="E262" s="10" t="s">
        <v>38</v>
      </c>
      <c r="F262" s="10" t="s">
        <v>26</v>
      </c>
      <c r="G262" s="10" t="n">
        <v>1</v>
      </c>
      <c r="H262" s="12" t="n">
        <v>300</v>
      </c>
      <c r="I262" s="12" t="n">
        <v>200</v>
      </c>
      <c r="J262" s="13" t="n">
        <f aca="false">G262*H262</f>
        <v>300</v>
      </c>
      <c r="K262" s="13" t="n">
        <f aca="false">J262-G262*I262</f>
        <v>100</v>
      </c>
    </row>
    <row r="263" customFormat="false" ht="15" hidden="false" customHeight="false" outlineLevel="0" collapsed="false">
      <c r="A263" s="10" t="s">
        <v>306</v>
      </c>
      <c r="B263" s="11" t="n">
        <v>45656</v>
      </c>
      <c r="C263" s="10" t="s">
        <v>53</v>
      </c>
      <c r="D263" s="10" t="s">
        <v>24</v>
      </c>
      <c r="E263" s="10" t="s">
        <v>25</v>
      </c>
      <c r="F263" s="10" t="s">
        <v>34</v>
      </c>
      <c r="G263" s="10" t="n">
        <v>1</v>
      </c>
      <c r="H263" s="12" t="n">
        <v>300</v>
      </c>
      <c r="I263" s="12" t="n">
        <v>200</v>
      </c>
      <c r="J263" s="13" t="n">
        <f aca="false">G263*H263</f>
        <v>300</v>
      </c>
      <c r="K263" s="13" t="n">
        <f aca="false">J263-G263*I263</f>
        <v>100</v>
      </c>
    </row>
    <row r="264" customFormat="false" ht="15" hidden="false" customHeight="false" outlineLevel="0" collapsed="false">
      <c r="A264" s="10" t="s">
        <v>307</v>
      </c>
      <c r="B264" s="11" t="n">
        <v>45656</v>
      </c>
      <c r="C264" s="10" t="s">
        <v>41</v>
      </c>
      <c r="D264" s="10" t="s">
        <v>42</v>
      </c>
      <c r="E264" s="10" t="s">
        <v>57</v>
      </c>
      <c r="F264" s="10" t="s">
        <v>26</v>
      </c>
      <c r="G264" s="10" t="n">
        <v>3</v>
      </c>
      <c r="H264" s="12" t="n">
        <v>45</v>
      </c>
      <c r="I264" s="12" t="n">
        <v>20</v>
      </c>
      <c r="J264" s="13" t="n">
        <f aca="false">G264*H264</f>
        <v>135</v>
      </c>
      <c r="K264" s="13" t="n">
        <f aca="false">J264-G264*I264</f>
        <v>75</v>
      </c>
    </row>
    <row r="265" customFormat="false" ht="15" hidden="false" customHeight="false" outlineLevel="0" collapsed="false">
      <c r="A265" s="10" t="s">
        <v>308</v>
      </c>
      <c r="B265" s="11" t="n">
        <v>45657</v>
      </c>
      <c r="C265" s="10" t="s">
        <v>36</v>
      </c>
      <c r="D265" s="10" t="s">
        <v>29</v>
      </c>
      <c r="E265" s="10" t="s">
        <v>33</v>
      </c>
      <c r="F265" s="10" t="s">
        <v>26</v>
      </c>
      <c r="G265" s="10" t="n">
        <v>4</v>
      </c>
      <c r="H265" s="12" t="n">
        <v>380</v>
      </c>
      <c r="I265" s="12" t="n">
        <v>260</v>
      </c>
      <c r="J265" s="13" t="n">
        <f aca="false">G265*H265</f>
        <v>1520</v>
      </c>
      <c r="K265" s="13" t="n">
        <f aca="false">J265-G265*I265</f>
        <v>480</v>
      </c>
    </row>
    <row r="266" customFormat="false" ht="15" hidden="false" customHeight="false" outlineLevel="0" collapsed="false">
      <c r="A266" s="10" t="s">
        <v>309</v>
      </c>
      <c r="B266" s="11" t="n">
        <v>45658</v>
      </c>
      <c r="C266" s="10" t="s">
        <v>41</v>
      </c>
      <c r="D266" s="10" t="s">
        <v>42</v>
      </c>
      <c r="E266" s="10" t="s">
        <v>33</v>
      </c>
      <c r="F266" s="10" t="s">
        <v>26</v>
      </c>
      <c r="G266" s="10" t="n">
        <v>2</v>
      </c>
      <c r="H266" s="12" t="n">
        <v>45</v>
      </c>
      <c r="I266" s="12" t="n">
        <v>20</v>
      </c>
      <c r="J266" s="13" t="n">
        <f aca="false">G266*H266</f>
        <v>90</v>
      </c>
      <c r="K266" s="13" t="n">
        <f aca="false">J266-G266*I266</f>
        <v>50</v>
      </c>
    </row>
    <row r="267" customFormat="false" ht="15" hidden="false" customHeight="false" outlineLevel="0" collapsed="false">
      <c r="A267" s="10" t="s">
        <v>310</v>
      </c>
      <c r="B267" s="11" t="n">
        <v>45660</v>
      </c>
      <c r="C267" s="10" t="s">
        <v>84</v>
      </c>
      <c r="D267" s="10" t="s">
        <v>42</v>
      </c>
      <c r="E267" s="10" t="s">
        <v>38</v>
      </c>
      <c r="F267" s="10" t="s">
        <v>26</v>
      </c>
      <c r="G267" s="10" t="n">
        <v>2</v>
      </c>
      <c r="H267" s="12" t="n">
        <v>480</v>
      </c>
      <c r="I267" s="12" t="n">
        <v>220</v>
      </c>
      <c r="J267" s="13" t="n">
        <f aca="false">G267*H267</f>
        <v>960</v>
      </c>
      <c r="K267" s="13" t="n">
        <f aca="false">J267-G267*I267</f>
        <v>520</v>
      </c>
    </row>
    <row r="268" customFormat="false" ht="15" hidden="false" customHeight="false" outlineLevel="0" collapsed="false">
      <c r="A268" s="10" t="s">
        <v>311</v>
      </c>
      <c r="B268" s="11" t="n">
        <v>45660</v>
      </c>
      <c r="C268" s="10" t="s">
        <v>53</v>
      </c>
      <c r="D268" s="10" t="s">
        <v>24</v>
      </c>
      <c r="E268" s="10" t="s">
        <v>25</v>
      </c>
      <c r="F268" s="10" t="s">
        <v>34</v>
      </c>
      <c r="G268" s="10" t="n">
        <v>1</v>
      </c>
      <c r="H268" s="12" t="n">
        <v>300</v>
      </c>
      <c r="I268" s="12" t="n">
        <v>200</v>
      </c>
      <c r="J268" s="13" t="n">
        <f aca="false">G268*H268</f>
        <v>300</v>
      </c>
      <c r="K268" s="13" t="n">
        <f aca="false">J268-G268*I268</f>
        <v>100</v>
      </c>
    </row>
    <row r="269" customFormat="false" ht="15" hidden="false" customHeight="false" outlineLevel="0" collapsed="false">
      <c r="A269" s="10" t="s">
        <v>312</v>
      </c>
      <c r="B269" s="11" t="n">
        <v>45661</v>
      </c>
      <c r="C269" s="10" t="s">
        <v>41</v>
      </c>
      <c r="D269" s="10" t="s">
        <v>42</v>
      </c>
      <c r="E269" s="10" t="s">
        <v>38</v>
      </c>
      <c r="F269" s="10" t="s">
        <v>26</v>
      </c>
      <c r="G269" s="10" t="n">
        <v>4</v>
      </c>
      <c r="H269" s="12" t="n">
        <v>45</v>
      </c>
      <c r="I269" s="12" t="n">
        <v>20</v>
      </c>
      <c r="J269" s="13" t="n">
        <f aca="false">G269*H269</f>
        <v>180</v>
      </c>
      <c r="K269" s="13" t="n">
        <f aca="false">J269-G269*I269</f>
        <v>100</v>
      </c>
    </row>
    <row r="270" customFormat="false" ht="15" hidden="false" customHeight="false" outlineLevel="0" collapsed="false">
      <c r="A270" s="10" t="s">
        <v>313</v>
      </c>
      <c r="B270" s="11" t="n">
        <v>45662</v>
      </c>
      <c r="C270" s="10" t="s">
        <v>32</v>
      </c>
      <c r="D270" s="10" t="s">
        <v>29</v>
      </c>
      <c r="E270" s="10" t="s">
        <v>38</v>
      </c>
      <c r="F270" s="10" t="s">
        <v>26</v>
      </c>
      <c r="G270" s="10" t="n">
        <v>4</v>
      </c>
      <c r="H270" s="12" t="n">
        <v>520</v>
      </c>
      <c r="I270" s="12" t="n">
        <v>300</v>
      </c>
      <c r="J270" s="13" t="n">
        <f aca="false">G270*H270</f>
        <v>2080</v>
      </c>
      <c r="K270" s="13" t="n">
        <f aca="false">J270-G270*I270</f>
        <v>880</v>
      </c>
    </row>
    <row r="271" customFormat="false" ht="15" hidden="false" customHeight="false" outlineLevel="0" collapsed="false">
      <c r="A271" s="10" t="s">
        <v>314</v>
      </c>
      <c r="B271" s="11" t="n">
        <v>45662</v>
      </c>
      <c r="C271" s="10" t="s">
        <v>23</v>
      </c>
      <c r="D271" s="10" t="s">
        <v>24</v>
      </c>
      <c r="E271" s="10" t="s">
        <v>30</v>
      </c>
      <c r="F271" s="10" t="s">
        <v>26</v>
      </c>
      <c r="G271" s="10" t="n">
        <v>3</v>
      </c>
      <c r="H271" s="12" t="n">
        <v>260</v>
      </c>
      <c r="I271" s="12" t="n">
        <v>180</v>
      </c>
      <c r="J271" s="13" t="n">
        <f aca="false">G271*H271</f>
        <v>780</v>
      </c>
      <c r="K271" s="13" t="n">
        <f aca="false">J271-G271*I271</f>
        <v>240</v>
      </c>
    </row>
    <row r="272" customFormat="false" ht="15" hidden="false" customHeight="false" outlineLevel="0" collapsed="false">
      <c r="A272" s="10" t="s">
        <v>315</v>
      </c>
      <c r="B272" s="11" t="n">
        <v>45662</v>
      </c>
      <c r="C272" s="10" t="s">
        <v>55</v>
      </c>
      <c r="D272" s="10" t="s">
        <v>24</v>
      </c>
      <c r="E272" s="10" t="s">
        <v>33</v>
      </c>
      <c r="F272" s="10" t="s">
        <v>34</v>
      </c>
      <c r="G272" s="10" t="n">
        <v>4</v>
      </c>
      <c r="H272" s="12" t="n">
        <v>280</v>
      </c>
      <c r="I272" s="12" t="n">
        <v>190</v>
      </c>
      <c r="J272" s="13" t="n">
        <f aca="false">G272*H272</f>
        <v>1120</v>
      </c>
      <c r="K272" s="13" t="n">
        <f aca="false">J272-G272*I272</f>
        <v>360</v>
      </c>
    </row>
    <row r="273" customFormat="false" ht="15" hidden="false" customHeight="false" outlineLevel="0" collapsed="false">
      <c r="A273" s="10" t="s">
        <v>316</v>
      </c>
      <c r="B273" s="11" t="n">
        <v>45663</v>
      </c>
      <c r="C273" s="10" t="s">
        <v>41</v>
      </c>
      <c r="D273" s="10" t="s">
        <v>42</v>
      </c>
      <c r="E273" s="10" t="s">
        <v>38</v>
      </c>
      <c r="F273" s="10" t="s">
        <v>26</v>
      </c>
      <c r="G273" s="10" t="n">
        <v>3</v>
      </c>
      <c r="H273" s="12" t="n">
        <v>45</v>
      </c>
      <c r="I273" s="12" t="n">
        <v>20</v>
      </c>
      <c r="J273" s="13" t="n">
        <f aca="false">G273*H273</f>
        <v>135</v>
      </c>
      <c r="K273" s="13" t="n">
        <f aca="false">J273-G273*I273</f>
        <v>75</v>
      </c>
    </row>
    <row r="274" customFormat="false" ht="15" hidden="false" customHeight="false" outlineLevel="0" collapsed="false">
      <c r="A274" s="10" t="s">
        <v>317</v>
      </c>
      <c r="B274" s="11" t="n">
        <v>45664</v>
      </c>
      <c r="C274" s="10" t="s">
        <v>67</v>
      </c>
      <c r="D274" s="10" t="s">
        <v>68</v>
      </c>
      <c r="E274" s="10" t="s">
        <v>33</v>
      </c>
      <c r="F274" s="10" t="s">
        <v>26</v>
      </c>
      <c r="G274" s="10" t="n">
        <v>2</v>
      </c>
      <c r="H274" s="12" t="n">
        <v>2600</v>
      </c>
      <c r="I274" s="12" t="n">
        <v>2100</v>
      </c>
      <c r="J274" s="13" t="n">
        <f aca="false">G274*H274</f>
        <v>5200</v>
      </c>
      <c r="K274" s="13" t="n">
        <f aca="false">J274-G274*I274</f>
        <v>1000</v>
      </c>
    </row>
    <row r="275" customFormat="false" ht="15" hidden="false" customHeight="false" outlineLevel="0" collapsed="false">
      <c r="A275" s="10" t="s">
        <v>318</v>
      </c>
      <c r="B275" s="11" t="n">
        <v>45664</v>
      </c>
      <c r="C275" s="10" t="s">
        <v>41</v>
      </c>
      <c r="D275" s="10" t="s">
        <v>42</v>
      </c>
      <c r="E275" s="10" t="s">
        <v>38</v>
      </c>
      <c r="F275" s="10" t="s">
        <v>26</v>
      </c>
      <c r="G275" s="10" t="n">
        <v>4</v>
      </c>
      <c r="H275" s="12" t="n">
        <v>45</v>
      </c>
      <c r="I275" s="12" t="n">
        <v>20</v>
      </c>
      <c r="J275" s="13" t="n">
        <f aca="false">G275*H275</f>
        <v>180</v>
      </c>
      <c r="K275" s="13" t="n">
        <f aca="false">J275-G275*I275</f>
        <v>100</v>
      </c>
    </row>
    <row r="276" customFormat="false" ht="15" hidden="false" customHeight="false" outlineLevel="0" collapsed="false">
      <c r="A276" s="10" t="s">
        <v>319</v>
      </c>
      <c r="B276" s="11" t="n">
        <v>45665</v>
      </c>
      <c r="C276" s="10" t="s">
        <v>67</v>
      </c>
      <c r="D276" s="10" t="s">
        <v>68</v>
      </c>
      <c r="E276" s="10" t="s">
        <v>38</v>
      </c>
      <c r="F276" s="10" t="s">
        <v>26</v>
      </c>
      <c r="G276" s="10" t="n">
        <v>1</v>
      </c>
      <c r="H276" s="12" t="n">
        <v>2600</v>
      </c>
      <c r="I276" s="12" t="n">
        <v>2100</v>
      </c>
      <c r="J276" s="13" t="n">
        <f aca="false">G276*H276</f>
        <v>2600</v>
      </c>
      <c r="K276" s="13" t="n">
        <f aca="false">J276-G276*I276</f>
        <v>500</v>
      </c>
    </row>
    <row r="277" customFormat="false" ht="15" hidden="false" customHeight="false" outlineLevel="0" collapsed="false">
      <c r="A277" s="10" t="s">
        <v>320</v>
      </c>
      <c r="B277" s="11" t="n">
        <v>45665</v>
      </c>
      <c r="C277" s="10" t="s">
        <v>49</v>
      </c>
      <c r="D277" s="10" t="s">
        <v>24</v>
      </c>
      <c r="E277" s="10" t="s">
        <v>38</v>
      </c>
      <c r="F277" s="10" t="s">
        <v>26</v>
      </c>
      <c r="G277" s="10" t="n">
        <v>4</v>
      </c>
      <c r="H277" s="12" t="n">
        <v>250</v>
      </c>
      <c r="I277" s="12" t="n">
        <v>170</v>
      </c>
      <c r="J277" s="13" t="n">
        <f aca="false">G277*H277</f>
        <v>1000</v>
      </c>
      <c r="K277" s="13" t="n">
        <f aca="false">J277-G277*I277</f>
        <v>320</v>
      </c>
    </row>
    <row r="278" customFormat="false" ht="15" hidden="false" customHeight="false" outlineLevel="0" collapsed="false">
      <c r="A278" s="10" t="s">
        <v>321</v>
      </c>
      <c r="B278" s="11" t="n">
        <v>45665</v>
      </c>
      <c r="C278" s="10" t="s">
        <v>49</v>
      </c>
      <c r="D278" s="10" t="s">
        <v>24</v>
      </c>
      <c r="E278" s="10" t="s">
        <v>38</v>
      </c>
      <c r="F278" s="10" t="s">
        <v>34</v>
      </c>
      <c r="G278" s="10" t="n">
        <v>3</v>
      </c>
      <c r="H278" s="12" t="n">
        <v>250</v>
      </c>
      <c r="I278" s="12" t="n">
        <v>170</v>
      </c>
      <c r="J278" s="13" t="n">
        <f aca="false">G278*H278</f>
        <v>750</v>
      </c>
      <c r="K278" s="13" t="n">
        <f aca="false">J278-G278*I278</f>
        <v>240</v>
      </c>
    </row>
    <row r="279" customFormat="false" ht="15" hidden="false" customHeight="false" outlineLevel="0" collapsed="false">
      <c r="A279" s="10" t="s">
        <v>322</v>
      </c>
      <c r="B279" s="11" t="n">
        <v>45666</v>
      </c>
      <c r="C279" s="10" t="s">
        <v>41</v>
      </c>
      <c r="D279" s="10" t="s">
        <v>42</v>
      </c>
      <c r="E279" s="10" t="s">
        <v>38</v>
      </c>
      <c r="F279" s="10" t="s">
        <v>26</v>
      </c>
      <c r="G279" s="10" t="n">
        <v>2</v>
      </c>
      <c r="H279" s="12" t="n">
        <v>45</v>
      </c>
      <c r="I279" s="12" t="n">
        <v>20</v>
      </c>
      <c r="J279" s="13" t="n">
        <f aca="false">G279*H279</f>
        <v>90</v>
      </c>
      <c r="K279" s="13" t="n">
        <f aca="false">J279-G279*I279</f>
        <v>50</v>
      </c>
    </row>
    <row r="280" customFormat="false" ht="15" hidden="false" customHeight="false" outlineLevel="0" collapsed="false">
      <c r="A280" s="10" t="s">
        <v>323</v>
      </c>
      <c r="B280" s="11" t="n">
        <v>45666</v>
      </c>
      <c r="C280" s="10" t="s">
        <v>67</v>
      </c>
      <c r="D280" s="10" t="s">
        <v>68</v>
      </c>
      <c r="E280" s="10" t="s">
        <v>25</v>
      </c>
      <c r="F280" s="10" t="s">
        <v>26</v>
      </c>
      <c r="G280" s="10" t="n">
        <v>2</v>
      </c>
      <c r="H280" s="12" t="n">
        <v>2600</v>
      </c>
      <c r="I280" s="12" t="n">
        <v>2100</v>
      </c>
      <c r="J280" s="13" t="n">
        <f aca="false">G280*H280</f>
        <v>5200</v>
      </c>
      <c r="K280" s="13" t="n">
        <f aca="false">J280-G280*I280</f>
        <v>1000</v>
      </c>
    </row>
    <row r="281" customFormat="false" ht="15" hidden="false" customHeight="false" outlineLevel="0" collapsed="false">
      <c r="A281" s="10" t="s">
        <v>324</v>
      </c>
      <c r="B281" s="11" t="n">
        <v>45667</v>
      </c>
      <c r="C281" s="10" t="s">
        <v>41</v>
      </c>
      <c r="D281" s="10" t="s">
        <v>42</v>
      </c>
      <c r="E281" s="10" t="s">
        <v>33</v>
      </c>
      <c r="F281" s="10" t="s">
        <v>34</v>
      </c>
      <c r="G281" s="10" t="n">
        <v>4</v>
      </c>
      <c r="H281" s="12" t="n">
        <v>45</v>
      </c>
      <c r="I281" s="12" t="n">
        <v>20</v>
      </c>
      <c r="J281" s="13" t="n">
        <f aca="false">G281*H281</f>
        <v>180</v>
      </c>
      <c r="K281" s="13" t="n">
        <f aca="false">J281-G281*I281</f>
        <v>100</v>
      </c>
    </row>
    <row r="282" customFormat="false" ht="15" hidden="false" customHeight="false" outlineLevel="0" collapsed="false">
      <c r="A282" s="10" t="s">
        <v>325</v>
      </c>
      <c r="B282" s="11" t="n">
        <v>45668</v>
      </c>
      <c r="C282" s="10" t="s">
        <v>101</v>
      </c>
      <c r="D282" s="10" t="s">
        <v>68</v>
      </c>
      <c r="E282" s="10" t="s">
        <v>38</v>
      </c>
      <c r="F282" s="10" t="s">
        <v>26</v>
      </c>
      <c r="G282" s="10" t="n">
        <v>1</v>
      </c>
      <c r="H282" s="12" t="n">
        <v>4200</v>
      </c>
      <c r="I282" s="12" t="n">
        <v>3300</v>
      </c>
      <c r="J282" s="13" t="n">
        <f aca="false">G282*H282</f>
        <v>4200</v>
      </c>
      <c r="K282" s="13" t="n">
        <f aca="false">J282-G282*I282</f>
        <v>900</v>
      </c>
    </row>
    <row r="283" customFormat="false" ht="15" hidden="false" customHeight="false" outlineLevel="0" collapsed="false">
      <c r="A283" s="10" t="s">
        <v>326</v>
      </c>
      <c r="B283" s="11" t="n">
        <v>45670</v>
      </c>
      <c r="C283" s="10" t="s">
        <v>53</v>
      </c>
      <c r="D283" s="10" t="s">
        <v>24</v>
      </c>
      <c r="E283" s="10" t="s">
        <v>33</v>
      </c>
      <c r="F283" s="10" t="s">
        <v>34</v>
      </c>
      <c r="G283" s="10" t="n">
        <v>1</v>
      </c>
      <c r="H283" s="12" t="n">
        <v>300</v>
      </c>
      <c r="I283" s="12" t="n">
        <v>200</v>
      </c>
      <c r="J283" s="13" t="n">
        <f aca="false">G283*H283</f>
        <v>300</v>
      </c>
      <c r="K283" s="13" t="n">
        <f aca="false">J283-G283*I283</f>
        <v>100</v>
      </c>
    </row>
    <row r="284" customFormat="false" ht="15" hidden="false" customHeight="false" outlineLevel="0" collapsed="false">
      <c r="A284" s="10" t="s">
        <v>327</v>
      </c>
      <c r="B284" s="11" t="n">
        <v>45670</v>
      </c>
      <c r="C284" s="10" t="s">
        <v>55</v>
      </c>
      <c r="D284" s="10" t="s">
        <v>24</v>
      </c>
      <c r="E284" s="10" t="s">
        <v>38</v>
      </c>
      <c r="F284" s="10" t="s">
        <v>34</v>
      </c>
      <c r="G284" s="10" t="n">
        <v>1</v>
      </c>
      <c r="H284" s="12" t="n">
        <v>280</v>
      </c>
      <c r="I284" s="12" t="n">
        <v>190</v>
      </c>
      <c r="J284" s="13" t="n">
        <f aca="false">G284*H284</f>
        <v>280</v>
      </c>
      <c r="K284" s="13" t="n">
        <f aca="false">J284-G284*I284</f>
        <v>90</v>
      </c>
    </row>
    <row r="285" customFormat="false" ht="15" hidden="false" customHeight="false" outlineLevel="0" collapsed="false">
      <c r="A285" s="10" t="s">
        <v>328</v>
      </c>
      <c r="B285" s="11" t="n">
        <v>45671</v>
      </c>
      <c r="C285" s="10" t="s">
        <v>53</v>
      </c>
      <c r="D285" s="10" t="s">
        <v>24</v>
      </c>
      <c r="E285" s="10" t="s">
        <v>30</v>
      </c>
      <c r="F285" s="10" t="s">
        <v>26</v>
      </c>
      <c r="G285" s="10" t="n">
        <v>4</v>
      </c>
      <c r="H285" s="12" t="n">
        <v>300</v>
      </c>
      <c r="I285" s="12" t="n">
        <v>200</v>
      </c>
      <c r="J285" s="13" t="n">
        <f aca="false">G285*H285</f>
        <v>1200</v>
      </c>
      <c r="K285" s="13" t="n">
        <f aca="false">J285-G285*I285</f>
        <v>400</v>
      </c>
    </row>
    <row r="286" customFormat="false" ht="15" hidden="false" customHeight="false" outlineLevel="0" collapsed="false">
      <c r="A286" s="10" t="s">
        <v>329</v>
      </c>
      <c r="B286" s="11" t="n">
        <v>45671</v>
      </c>
      <c r="C286" s="10" t="s">
        <v>84</v>
      </c>
      <c r="D286" s="10" t="s">
        <v>42</v>
      </c>
      <c r="E286" s="10" t="s">
        <v>38</v>
      </c>
      <c r="F286" s="10" t="s">
        <v>34</v>
      </c>
      <c r="G286" s="10" t="n">
        <v>4</v>
      </c>
      <c r="H286" s="12" t="n">
        <v>480</v>
      </c>
      <c r="I286" s="12" t="n">
        <v>220</v>
      </c>
      <c r="J286" s="13" t="n">
        <f aca="false">G286*H286</f>
        <v>1920</v>
      </c>
      <c r="K286" s="13" t="n">
        <f aca="false">J286-G286*I286</f>
        <v>1040</v>
      </c>
    </row>
    <row r="287" customFormat="false" ht="15" hidden="false" customHeight="false" outlineLevel="0" collapsed="false">
      <c r="A287" s="10" t="s">
        <v>330</v>
      </c>
      <c r="B287" s="11" t="n">
        <v>45672</v>
      </c>
      <c r="C287" s="10" t="s">
        <v>28</v>
      </c>
      <c r="D287" s="10" t="s">
        <v>29</v>
      </c>
      <c r="E287" s="10" t="s">
        <v>38</v>
      </c>
      <c r="F287" s="10" t="s">
        <v>34</v>
      </c>
      <c r="G287" s="10" t="n">
        <v>2</v>
      </c>
      <c r="H287" s="12" t="n">
        <v>450</v>
      </c>
      <c r="I287" s="12" t="n">
        <v>280</v>
      </c>
      <c r="J287" s="13" t="n">
        <f aca="false">G287*H287</f>
        <v>900</v>
      </c>
      <c r="K287" s="13" t="n">
        <f aca="false">J287-G287*I287</f>
        <v>340</v>
      </c>
    </row>
    <row r="288" customFormat="false" ht="15" hidden="false" customHeight="false" outlineLevel="0" collapsed="false">
      <c r="A288" s="10" t="s">
        <v>331</v>
      </c>
      <c r="B288" s="11" t="n">
        <v>45673</v>
      </c>
      <c r="C288" s="10" t="s">
        <v>41</v>
      </c>
      <c r="D288" s="10" t="s">
        <v>42</v>
      </c>
      <c r="E288" s="10" t="s">
        <v>33</v>
      </c>
      <c r="F288" s="10" t="s">
        <v>26</v>
      </c>
      <c r="G288" s="10" t="n">
        <v>2</v>
      </c>
      <c r="H288" s="12" t="n">
        <v>45</v>
      </c>
      <c r="I288" s="12" t="n">
        <v>20</v>
      </c>
      <c r="J288" s="13" t="n">
        <f aca="false">G288*H288</f>
        <v>90</v>
      </c>
      <c r="K288" s="13" t="n">
        <f aca="false">J288-G288*I288</f>
        <v>50</v>
      </c>
    </row>
    <row r="289" customFormat="false" ht="15" hidden="false" customHeight="false" outlineLevel="0" collapsed="false">
      <c r="A289" s="10" t="s">
        <v>332</v>
      </c>
      <c r="B289" s="11" t="n">
        <v>45674</v>
      </c>
      <c r="C289" s="10" t="s">
        <v>28</v>
      </c>
      <c r="D289" s="10" t="s">
        <v>29</v>
      </c>
      <c r="E289" s="10" t="s">
        <v>25</v>
      </c>
      <c r="F289" s="10" t="s">
        <v>34</v>
      </c>
      <c r="G289" s="10" t="n">
        <v>4</v>
      </c>
      <c r="H289" s="12" t="n">
        <v>450</v>
      </c>
      <c r="I289" s="12" t="n">
        <v>280</v>
      </c>
      <c r="J289" s="13" t="n">
        <f aca="false">G289*H289</f>
        <v>1800</v>
      </c>
      <c r="K289" s="13" t="n">
        <f aca="false">J289-G289*I289</f>
        <v>680</v>
      </c>
    </row>
    <row r="290" customFormat="false" ht="15" hidden="false" customHeight="false" outlineLevel="0" collapsed="false">
      <c r="A290" s="10" t="s">
        <v>333</v>
      </c>
      <c r="B290" s="11" t="n">
        <v>45674</v>
      </c>
      <c r="C290" s="10" t="s">
        <v>53</v>
      </c>
      <c r="D290" s="10" t="s">
        <v>24</v>
      </c>
      <c r="E290" s="10" t="s">
        <v>38</v>
      </c>
      <c r="F290" s="10" t="s">
        <v>26</v>
      </c>
      <c r="G290" s="10" t="n">
        <v>3</v>
      </c>
      <c r="H290" s="12" t="n">
        <v>300</v>
      </c>
      <c r="I290" s="12" t="n">
        <v>200</v>
      </c>
      <c r="J290" s="13" t="n">
        <f aca="false">G290*H290</f>
        <v>900</v>
      </c>
      <c r="K290" s="13" t="n">
        <f aca="false">J290-G290*I290</f>
        <v>300</v>
      </c>
    </row>
    <row r="291" customFormat="false" ht="15" hidden="false" customHeight="false" outlineLevel="0" collapsed="false">
      <c r="A291" s="10" t="s">
        <v>334</v>
      </c>
      <c r="B291" s="11" t="n">
        <v>45678</v>
      </c>
      <c r="C291" s="10" t="s">
        <v>53</v>
      </c>
      <c r="D291" s="10" t="s">
        <v>24</v>
      </c>
      <c r="E291" s="10" t="s">
        <v>30</v>
      </c>
      <c r="F291" s="10" t="s">
        <v>34</v>
      </c>
      <c r="G291" s="10" t="n">
        <v>1</v>
      </c>
      <c r="H291" s="12" t="n">
        <v>300</v>
      </c>
      <c r="I291" s="12" t="n">
        <v>200</v>
      </c>
      <c r="J291" s="13" t="n">
        <f aca="false">G291*H291</f>
        <v>300</v>
      </c>
      <c r="K291" s="13" t="n">
        <f aca="false">J291-G291*I291</f>
        <v>100</v>
      </c>
    </row>
    <row r="292" customFormat="false" ht="15" hidden="false" customHeight="false" outlineLevel="0" collapsed="false">
      <c r="A292" s="10" t="s">
        <v>335</v>
      </c>
      <c r="B292" s="11" t="n">
        <v>45678</v>
      </c>
      <c r="C292" s="10" t="s">
        <v>41</v>
      </c>
      <c r="D292" s="10" t="s">
        <v>42</v>
      </c>
      <c r="E292" s="10" t="s">
        <v>38</v>
      </c>
      <c r="F292" s="10" t="s">
        <v>34</v>
      </c>
      <c r="G292" s="10" t="n">
        <v>4</v>
      </c>
      <c r="H292" s="12" t="n">
        <v>45</v>
      </c>
      <c r="I292" s="12" t="n">
        <v>20</v>
      </c>
      <c r="J292" s="13" t="n">
        <f aca="false">G292*H292</f>
        <v>180</v>
      </c>
      <c r="K292" s="13" t="n">
        <f aca="false">J292-G292*I292</f>
        <v>100</v>
      </c>
    </row>
    <row r="293" customFormat="false" ht="15" hidden="false" customHeight="false" outlineLevel="0" collapsed="false">
      <c r="A293" s="10" t="s">
        <v>336</v>
      </c>
      <c r="B293" s="11" t="n">
        <v>45678</v>
      </c>
      <c r="C293" s="10" t="s">
        <v>36</v>
      </c>
      <c r="D293" s="10" t="s">
        <v>29</v>
      </c>
      <c r="E293" s="10" t="s">
        <v>33</v>
      </c>
      <c r="F293" s="10" t="s">
        <v>34</v>
      </c>
      <c r="G293" s="10" t="n">
        <v>2</v>
      </c>
      <c r="H293" s="12" t="n">
        <v>380</v>
      </c>
      <c r="I293" s="12" t="n">
        <v>260</v>
      </c>
      <c r="J293" s="13" t="n">
        <f aca="false">G293*H293</f>
        <v>760</v>
      </c>
      <c r="K293" s="13" t="n">
        <f aca="false">J293-G293*I293</f>
        <v>240</v>
      </c>
    </row>
    <row r="294" customFormat="false" ht="15" hidden="false" customHeight="false" outlineLevel="0" collapsed="false">
      <c r="A294" s="10" t="s">
        <v>337</v>
      </c>
      <c r="B294" s="11" t="n">
        <v>45679</v>
      </c>
      <c r="C294" s="10" t="s">
        <v>49</v>
      </c>
      <c r="D294" s="10" t="s">
        <v>24</v>
      </c>
      <c r="E294" s="10" t="s">
        <v>38</v>
      </c>
      <c r="F294" s="10" t="s">
        <v>26</v>
      </c>
      <c r="G294" s="10" t="n">
        <v>3</v>
      </c>
      <c r="H294" s="12" t="n">
        <v>250</v>
      </c>
      <c r="I294" s="12" t="n">
        <v>170</v>
      </c>
      <c r="J294" s="13" t="n">
        <f aca="false">G294*H294</f>
        <v>750</v>
      </c>
      <c r="K294" s="13" t="n">
        <f aca="false">J294-G294*I294</f>
        <v>240</v>
      </c>
    </row>
    <row r="295" customFormat="false" ht="15" hidden="false" customHeight="false" outlineLevel="0" collapsed="false">
      <c r="A295" s="10" t="s">
        <v>338</v>
      </c>
      <c r="B295" s="11" t="n">
        <v>45679</v>
      </c>
      <c r="C295" s="10" t="s">
        <v>67</v>
      </c>
      <c r="D295" s="10" t="s">
        <v>68</v>
      </c>
      <c r="E295" s="10" t="s">
        <v>38</v>
      </c>
      <c r="F295" s="10" t="s">
        <v>26</v>
      </c>
      <c r="G295" s="10" t="n">
        <v>2</v>
      </c>
      <c r="H295" s="12" t="n">
        <v>2600</v>
      </c>
      <c r="I295" s="12" t="n">
        <v>2100</v>
      </c>
      <c r="J295" s="13" t="n">
        <f aca="false">G295*H295</f>
        <v>5200</v>
      </c>
      <c r="K295" s="13" t="n">
        <f aca="false">J295-G295*I295</f>
        <v>1000</v>
      </c>
    </row>
    <row r="296" customFormat="false" ht="15" hidden="false" customHeight="false" outlineLevel="0" collapsed="false">
      <c r="A296" s="10" t="s">
        <v>339</v>
      </c>
      <c r="B296" s="11" t="n">
        <v>45680</v>
      </c>
      <c r="C296" s="10" t="s">
        <v>51</v>
      </c>
      <c r="D296" s="10" t="s">
        <v>42</v>
      </c>
      <c r="E296" s="10" t="s">
        <v>30</v>
      </c>
      <c r="F296" s="10" t="s">
        <v>26</v>
      </c>
      <c r="G296" s="10" t="n">
        <v>3</v>
      </c>
      <c r="H296" s="12" t="n">
        <v>130</v>
      </c>
      <c r="I296" s="12" t="n">
        <v>60</v>
      </c>
      <c r="J296" s="13" t="n">
        <f aca="false">G296*H296</f>
        <v>390</v>
      </c>
      <c r="K296" s="13" t="n">
        <f aca="false">J296-G296*I296</f>
        <v>210</v>
      </c>
    </row>
    <row r="297" customFormat="false" ht="15" hidden="false" customHeight="false" outlineLevel="0" collapsed="false">
      <c r="A297" s="10" t="s">
        <v>340</v>
      </c>
      <c r="B297" s="11" t="n">
        <v>45681</v>
      </c>
      <c r="C297" s="10" t="s">
        <v>84</v>
      </c>
      <c r="D297" s="10" t="s">
        <v>42</v>
      </c>
      <c r="E297" s="10" t="s">
        <v>33</v>
      </c>
      <c r="F297" s="10" t="s">
        <v>34</v>
      </c>
      <c r="G297" s="10" t="n">
        <v>2</v>
      </c>
      <c r="H297" s="12" t="n">
        <v>480</v>
      </c>
      <c r="I297" s="12" t="n">
        <v>220</v>
      </c>
      <c r="J297" s="13" t="n">
        <f aca="false">G297*H297</f>
        <v>960</v>
      </c>
      <c r="K297" s="13" t="n">
        <f aca="false">J297-G297*I297</f>
        <v>520</v>
      </c>
    </row>
    <row r="298" customFormat="false" ht="15" hidden="false" customHeight="false" outlineLevel="0" collapsed="false">
      <c r="A298" s="10" t="s">
        <v>341</v>
      </c>
      <c r="B298" s="11" t="n">
        <v>45682</v>
      </c>
      <c r="C298" s="10" t="s">
        <v>55</v>
      </c>
      <c r="D298" s="10" t="s">
        <v>24</v>
      </c>
      <c r="E298" s="10" t="s">
        <v>38</v>
      </c>
      <c r="F298" s="10" t="s">
        <v>34</v>
      </c>
      <c r="G298" s="10" t="n">
        <v>2</v>
      </c>
      <c r="H298" s="12" t="n">
        <v>280</v>
      </c>
      <c r="I298" s="12" t="n">
        <v>190</v>
      </c>
      <c r="J298" s="13" t="n">
        <f aca="false">G298*H298</f>
        <v>560</v>
      </c>
      <c r="K298" s="13" t="n">
        <f aca="false">J298-G298*I298</f>
        <v>180</v>
      </c>
    </row>
    <row r="299" customFormat="false" ht="15" hidden="false" customHeight="false" outlineLevel="0" collapsed="false">
      <c r="A299" s="10" t="s">
        <v>342</v>
      </c>
      <c r="B299" s="11" t="n">
        <v>45682</v>
      </c>
      <c r="C299" s="10" t="s">
        <v>41</v>
      </c>
      <c r="D299" s="10" t="s">
        <v>42</v>
      </c>
      <c r="E299" s="10" t="s">
        <v>30</v>
      </c>
      <c r="F299" s="10" t="s">
        <v>26</v>
      </c>
      <c r="G299" s="10" t="n">
        <v>4</v>
      </c>
      <c r="H299" s="12" t="n">
        <v>45</v>
      </c>
      <c r="I299" s="12" t="n">
        <v>20</v>
      </c>
      <c r="J299" s="13" t="n">
        <f aca="false">G299*H299</f>
        <v>180</v>
      </c>
      <c r="K299" s="13" t="n">
        <f aca="false">J299-G299*I299</f>
        <v>100</v>
      </c>
    </row>
    <row r="300" customFormat="false" ht="15" hidden="false" customHeight="false" outlineLevel="0" collapsed="false">
      <c r="A300" s="10" t="s">
        <v>343</v>
      </c>
      <c r="B300" s="11" t="n">
        <v>45683</v>
      </c>
      <c r="C300" s="10" t="s">
        <v>28</v>
      </c>
      <c r="D300" s="10" t="s">
        <v>29</v>
      </c>
      <c r="E300" s="10" t="s">
        <v>30</v>
      </c>
      <c r="F300" s="10" t="s">
        <v>26</v>
      </c>
      <c r="G300" s="10" t="n">
        <v>4</v>
      </c>
      <c r="H300" s="12" t="n">
        <v>450</v>
      </c>
      <c r="I300" s="12" t="n">
        <v>280</v>
      </c>
      <c r="J300" s="13" t="n">
        <f aca="false">G300*H300</f>
        <v>1800</v>
      </c>
      <c r="K300" s="13" t="n">
        <f aca="false">J300-G300*I300</f>
        <v>680</v>
      </c>
    </row>
    <row r="301" customFormat="false" ht="15" hidden="false" customHeight="false" outlineLevel="0" collapsed="false">
      <c r="A301" s="10" t="s">
        <v>344</v>
      </c>
      <c r="B301" s="11" t="n">
        <v>45685</v>
      </c>
      <c r="C301" s="10" t="s">
        <v>23</v>
      </c>
      <c r="D301" s="10" t="s">
        <v>24</v>
      </c>
      <c r="E301" s="10" t="s">
        <v>57</v>
      </c>
      <c r="F301" s="10" t="s">
        <v>26</v>
      </c>
      <c r="G301" s="10" t="n">
        <v>1</v>
      </c>
      <c r="H301" s="12" t="n">
        <v>260</v>
      </c>
      <c r="I301" s="12" t="n">
        <v>180</v>
      </c>
      <c r="J301" s="13" t="n">
        <f aca="false">G301*H301</f>
        <v>260</v>
      </c>
      <c r="K301" s="13" t="n">
        <f aca="false">J301-G301*I301</f>
        <v>80</v>
      </c>
    </row>
    <row r="302" customFormat="false" ht="15" hidden="false" customHeight="false" outlineLevel="0" collapsed="false">
      <c r="A302" s="10" t="s">
        <v>345</v>
      </c>
      <c r="B302" s="11" t="n">
        <v>45686</v>
      </c>
      <c r="C302" s="10" t="s">
        <v>28</v>
      </c>
      <c r="D302" s="10" t="s">
        <v>29</v>
      </c>
      <c r="E302" s="10" t="s">
        <v>30</v>
      </c>
      <c r="F302" s="10" t="s">
        <v>26</v>
      </c>
      <c r="G302" s="10" t="n">
        <v>2</v>
      </c>
      <c r="H302" s="12" t="n">
        <v>450</v>
      </c>
      <c r="I302" s="12" t="n">
        <v>280</v>
      </c>
      <c r="J302" s="13" t="n">
        <f aca="false">G302*H302</f>
        <v>900</v>
      </c>
      <c r="K302" s="13" t="n">
        <f aca="false">J302-G302*I302</f>
        <v>340</v>
      </c>
    </row>
    <row r="303" customFormat="false" ht="15" hidden="false" customHeight="false" outlineLevel="0" collapsed="false">
      <c r="A303" s="10" t="s">
        <v>346</v>
      </c>
      <c r="B303" s="11" t="n">
        <v>45686</v>
      </c>
      <c r="C303" s="10" t="s">
        <v>51</v>
      </c>
      <c r="D303" s="10" t="s">
        <v>42</v>
      </c>
      <c r="E303" s="10" t="s">
        <v>30</v>
      </c>
      <c r="F303" s="10" t="s">
        <v>26</v>
      </c>
      <c r="G303" s="10" t="n">
        <v>3</v>
      </c>
      <c r="H303" s="12" t="n">
        <v>130</v>
      </c>
      <c r="I303" s="12" t="n">
        <v>60</v>
      </c>
      <c r="J303" s="13" t="n">
        <f aca="false">G303*H303</f>
        <v>390</v>
      </c>
      <c r="K303" s="13" t="n">
        <f aca="false">J303-G303*I303</f>
        <v>210</v>
      </c>
    </row>
    <row r="304" customFormat="false" ht="15" hidden="false" customHeight="false" outlineLevel="0" collapsed="false">
      <c r="A304" s="10" t="s">
        <v>347</v>
      </c>
      <c r="B304" s="11" t="n">
        <v>45687</v>
      </c>
      <c r="C304" s="10" t="s">
        <v>41</v>
      </c>
      <c r="D304" s="10" t="s">
        <v>42</v>
      </c>
      <c r="E304" s="10" t="s">
        <v>38</v>
      </c>
      <c r="F304" s="10" t="s">
        <v>34</v>
      </c>
      <c r="G304" s="10" t="n">
        <v>4</v>
      </c>
      <c r="H304" s="12" t="n">
        <v>45</v>
      </c>
      <c r="I304" s="12" t="n">
        <v>20</v>
      </c>
      <c r="J304" s="13" t="n">
        <f aca="false">G304*H304</f>
        <v>180</v>
      </c>
      <c r="K304" s="13" t="n">
        <f aca="false">J304-G304*I304</f>
        <v>100</v>
      </c>
    </row>
    <row r="305" customFormat="false" ht="15" hidden="false" customHeight="false" outlineLevel="0" collapsed="false">
      <c r="A305" s="10" t="s">
        <v>348</v>
      </c>
      <c r="B305" s="11" t="n">
        <v>45687</v>
      </c>
      <c r="C305" s="10" t="s">
        <v>55</v>
      </c>
      <c r="D305" s="10" t="s">
        <v>24</v>
      </c>
      <c r="E305" s="10" t="s">
        <v>30</v>
      </c>
      <c r="F305" s="10" t="s">
        <v>26</v>
      </c>
      <c r="G305" s="10" t="n">
        <v>2</v>
      </c>
      <c r="H305" s="12" t="n">
        <v>280</v>
      </c>
      <c r="I305" s="12" t="n">
        <v>190</v>
      </c>
      <c r="J305" s="13" t="n">
        <f aca="false">G305*H305</f>
        <v>560</v>
      </c>
      <c r="K305" s="13" t="n">
        <f aca="false">J305-G305*I305</f>
        <v>180</v>
      </c>
    </row>
    <row r="306" customFormat="false" ht="15" hidden="false" customHeight="false" outlineLevel="0" collapsed="false">
      <c r="A306" s="10" t="s">
        <v>349</v>
      </c>
      <c r="B306" s="11" t="n">
        <v>45687</v>
      </c>
      <c r="C306" s="10" t="s">
        <v>67</v>
      </c>
      <c r="D306" s="10" t="s">
        <v>68</v>
      </c>
      <c r="E306" s="10" t="s">
        <v>33</v>
      </c>
      <c r="F306" s="10" t="s">
        <v>26</v>
      </c>
      <c r="G306" s="10" t="n">
        <v>1</v>
      </c>
      <c r="H306" s="12" t="n">
        <v>2600</v>
      </c>
      <c r="I306" s="12" t="n">
        <v>2100</v>
      </c>
      <c r="J306" s="13" t="n">
        <f aca="false">G306*H306</f>
        <v>2600</v>
      </c>
      <c r="K306" s="13" t="n">
        <f aca="false">J306-G306*I306</f>
        <v>500</v>
      </c>
    </row>
    <row r="307" customFormat="false" ht="15" hidden="false" customHeight="false" outlineLevel="0" collapsed="false">
      <c r="A307" s="10" t="s">
        <v>350</v>
      </c>
      <c r="B307" s="11" t="n">
        <v>45687</v>
      </c>
      <c r="C307" s="10" t="s">
        <v>36</v>
      </c>
      <c r="D307" s="10" t="s">
        <v>29</v>
      </c>
      <c r="E307" s="10" t="s">
        <v>30</v>
      </c>
      <c r="F307" s="10" t="s">
        <v>34</v>
      </c>
      <c r="G307" s="10" t="n">
        <v>1</v>
      </c>
      <c r="H307" s="12" t="n">
        <v>380</v>
      </c>
      <c r="I307" s="12" t="n">
        <v>260</v>
      </c>
      <c r="J307" s="13" t="n">
        <f aca="false">G307*H307</f>
        <v>380</v>
      </c>
      <c r="K307" s="13" t="n">
        <f aca="false">J307-G307*I307</f>
        <v>120</v>
      </c>
    </row>
    <row r="308" customFormat="false" ht="15" hidden="false" customHeight="false" outlineLevel="0" collapsed="false">
      <c r="A308" s="10" t="s">
        <v>351</v>
      </c>
      <c r="B308" s="11" t="n">
        <v>45689</v>
      </c>
      <c r="C308" s="10" t="s">
        <v>55</v>
      </c>
      <c r="D308" s="10" t="s">
        <v>24</v>
      </c>
      <c r="E308" s="10" t="s">
        <v>38</v>
      </c>
      <c r="F308" s="10" t="s">
        <v>26</v>
      </c>
      <c r="G308" s="10" t="n">
        <v>1</v>
      </c>
      <c r="H308" s="12" t="n">
        <v>280</v>
      </c>
      <c r="I308" s="12" t="n">
        <v>190</v>
      </c>
      <c r="J308" s="13" t="n">
        <f aca="false">G308*H308</f>
        <v>280</v>
      </c>
      <c r="K308" s="13" t="n">
        <f aca="false">J308-G308*I308</f>
        <v>90</v>
      </c>
    </row>
    <row r="309" customFormat="false" ht="15" hidden="false" customHeight="false" outlineLevel="0" collapsed="false">
      <c r="A309" s="10" t="s">
        <v>352</v>
      </c>
      <c r="B309" s="11" t="n">
        <v>45689</v>
      </c>
      <c r="C309" s="10" t="s">
        <v>32</v>
      </c>
      <c r="D309" s="10" t="s">
        <v>29</v>
      </c>
      <c r="E309" s="10" t="s">
        <v>33</v>
      </c>
      <c r="F309" s="10" t="s">
        <v>26</v>
      </c>
      <c r="G309" s="10" t="n">
        <v>4</v>
      </c>
      <c r="H309" s="12" t="n">
        <v>520</v>
      </c>
      <c r="I309" s="12" t="n">
        <v>300</v>
      </c>
      <c r="J309" s="13" t="n">
        <f aca="false">G309*H309</f>
        <v>2080</v>
      </c>
      <c r="K309" s="13" t="n">
        <f aca="false">J309-G309*I309</f>
        <v>880</v>
      </c>
    </row>
    <row r="310" customFormat="false" ht="15" hidden="false" customHeight="false" outlineLevel="0" collapsed="false">
      <c r="A310" s="10" t="s">
        <v>353</v>
      </c>
      <c r="B310" s="11" t="n">
        <v>45691</v>
      </c>
      <c r="C310" s="10" t="s">
        <v>49</v>
      </c>
      <c r="D310" s="10" t="s">
        <v>24</v>
      </c>
      <c r="E310" s="10" t="s">
        <v>38</v>
      </c>
      <c r="F310" s="10" t="s">
        <v>34</v>
      </c>
      <c r="G310" s="10" t="n">
        <v>1</v>
      </c>
      <c r="H310" s="12" t="n">
        <v>250</v>
      </c>
      <c r="I310" s="12" t="n">
        <v>170</v>
      </c>
      <c r="J310" s="13" t="n">
        <f aca="false">G310*H310</f>
        <v>250</v>
      </c>
      <c r="K310" s="13" t="n">
        <f aca="false">J310-G310*I310</f>
        <v>80</v>
      </c>
    </row>
    <row r="311" customFormat="false" ht="15" hidden="false" customHeight="false" outlineLevel="0" collapsed="false">
      <c r="A311" s="10" t="s">
        <v>354</v>
      </c>
      <c r="B311" s="11" t="n">
        <v>45691</v>
      </c>
      <c r="C311" s="10" t="s">
        <v>32</v>
      </c>
      <c r="D311" s="10" t="s">
        <v>29</v>
      </c>
      <c r="E311" s="10" t="s">
        <v>30</v>
      </c>
      <c r="F311" s="10" t="s">
        <v>26</v>
      </c>
      <c r="G311" s="10" t="n">
        <v>3</v>
      </c>
      <c r="H311" s="12" t="n">
        <v>520</v>
      </c>
      <c r="I311" s="12" t="n">
        <v>300</v>
      </c>
      <c r="J311" s="13" t="n">
        <f aca="false">G311*H311</f>
        <v>1560</v>
      </c>
      <c r="K311" s="13" t="n">
        <f aca="false">J311-G311*I311</f>
        <v>660</v>
      </c>
    </row>
    <row r="312" customFormat="false" ht="15" hidden="false" customHeight="false" outlineLevel="0" collapsed="false">
      <c r="A312" s="10" t="s">
        <v>355</v>
      </c>
      <c r="B312" s="11" t="n">
        <v>45692</v>
      </c>
      <c r="C312" s="10" t="s">
        <v>49</v>
      </c>
      <c r="D312" s="10" t="s">
        <v>24</v>
      </c>
      <c r="E312" s="10" t="s">
        <v>33</v>
      </c>
      <c r="F312" s="10" t="s">
        <v>26</v>
      </c>
      <c r="G312" s="10" t="n">
        <v>1</v>
      </c>
      <c r="H312" s="12" t="n">
        <v>250</v>
      </c>
      <c r="I312" s="12" t="n">
        <v>170</v>
      </c>
      <c r="J312" s="13" t="n">
        <f aca="false">G312*H312</f>
        <v>250</v>
      </c>
      <c r="K312" s="13" t="n">
        <f aca="false">J312-G312*I312</f>
        <v>80</v>
      </c>
    </row>
    <row r="313" customFormat="false" ht="15" hidden="false" customHeight="false" outlineLevel="0" collapsed="false">
      <c r="A313" s="10" t="s">
        <v>356</v>
      </c>
      <c r="B313" s="11" t="n">
        <v>45693</v>
      </c>
      <c r="C313" s="10" t="s">
        <v>49</v>
      </c>
      <c r="D313" s="10" t="s">
        <v>24</v>
      </c>
      <c r="E313" s="10" t="s">
        <v>38</v>
      </c>
      <c r="F313" s="10" t="s">
        <v>34</v>
      </c>
      <c r="G313" s="10" t="n">
        <v>3</v>
      </c>
      <c r="H313" s="12" t="n">
        <v>250</v>
      </c>
      <c r="I313" s="12" t="n">
        <v>170</v>
      </c>
      <c r="J313" s="13" t="n">
        <f aca="false">G313*H313</f>
        <v>750</v>
      </c>
      <c r="K313" s="13" t="n">
        <f aca="false">J313-G313*I313</f>
        <v>240</v>
      </c>
    </row>
    <row r="314" customFormat="false" ht="15" hidden="false" customHeight="false" outlineLevel="0" collapsed="false">
      <c r="A314" s="10" t="s">
        <v>357</v>
      </c>
      <c r="B314" s="11" t="n">
        <v>45698</v>
      </c>
      <c r="C314" s="10" t="s">
        <v>23</v>
      </c>
      <c r="D314" s="10" t="s">
        <v>24</v>
      </c>
      <c r="E314" s="10" t="s">
        <v>25</v>
      </c>
      <c r="F314" s="10" t="s">
        <v>26</v>
      </c>
      <c r="G314" s="10" t="n">
        <v>3</v>
      </c>
      <c r="H314" s="12" t="n">
        <v>260</v>
      </c>
      <c r="I314" s="12" t="n">
        <v>180</v>
      </c>
      <c r="J314" s="13" t="n">
        <f aca="false">G314*H314</f>
        <v>780</v>
      </c>
      <c r="K314" s="13" t="n">
        <f aca="false">J314-G314*I314</f>
        <v>240</v>
      </c>
    </row>
    <row r="315" customFormat="false" ht="15" hidden="false" customHeight="false" outlineLevel="0" collapsed="false">
      <c r="A315" s="10" t="s">
        <v>358</v>
      </c>
      <c r="B315" s="11" t="n">
        <v>45699</v>
      </c>
      <c r="C315" s="10" t="s">
        <v>23</v>
      </c>
      <c r="D315" s="10" t="s">
        <v>24</v>
      </c>
      <c r="E315" s="10" t="s">
        <v>30</v>
      </c>
      <c r="F315" s="10" t="s">
        <v>26</v>
      </c>
      <c r="G315" s="10" t="n">
        <v>3</v>
      </c>
      <c r="H315" s="12" t="n">
        <v>260</v>
      </c>
      <c r="I315" s="12" t="n">
        <v>180</v>
      </c>
      <c r="J315" s="13" t="n">
        <f aca="false">G315*H315</f>
        <v>780</v>
      </c>
      <c r="K315" s="13" t="n">
        <f aca="false">J315-G315*I315</f>
        <v>240</v>
      </c>
    </row>
    <row r="316" customFormat="false" ht="15" hidden="false" customHeight="false" outlineLevel="0" collapsed="false">
      <c r="A316" s="10" t="s">
        <v>359</v>
      </c>
      <c r="B316" s="11" t="n">
        <v>45700</v>
      </c>
      <c r="C316" s="10" t="s">
        <v>23</v>
      </c>
      <c r="D316" s="10" t="s">
        <v>24</v>
      </c>
      <c r="E316" s="10" t="s">
        <v>57</v>
      </c>
      <c r="F316" s="10" t="s">
        <v>26</v>
      </c>
      <c r="G316" s="10" t="n">
        <v>2</v>
      </c>
      <c r="H316" s="12" t="n">
        <v>260</v>
      </c>
      <c r="I316" s="12" t="n">
        <v>180</v>
      </c>
      <c r="J316" s="13" t="n">
        <f aca="false">G316*H316</f>
        <v>520</v>
      </c>
      <c r="K316" s="13" t="n">
        <f aca="false">J316-G316*I316</f>
        <v>160</v>
      </c>
    </row>
    <row r="317" customFormat="false" ht="15" hidden="false" customHeight="false" outlineLevel="0" collapsed="false">
      <c r="A317" s="10" t="s">
        <v>360</v>
      </c>
      <c r="B317" s="11" t="n">
        <v>45703</v>
      </c>
      <c r="C317" s="10" t="s">
        <v>36</v>
      </c>
      <c r="D317" s="10" t="s">
        <v>29</v>
      </c>
      <c r="E317" s="10" t="s">
        <v>57</v>
      </c>
      <c r="F317" s="10" t="s">
        <v>26</v>
      </c>
      <c r="G317" s="10" t="n">
        <v>4</v>
      </c>
      <c r="H317" s="12" t="n">
        <v>380</v>
      </c>
      <c r="I317" s="12" t="n">
        <v>260</v>
      </c>
      <c r="J317" s="13" t="n">
        <f aca="false">G317*H317</f>
        <v>1520</v>
      </c>
      <c r="K317" s="13" t="n">
        <f aca="false">J317-G317*I317</f>
        <v>480</v>
      </c>
    </row>
    <row r="318" customFormat="false" ht="15" hidden="false" customHeight="false" outlineLevel="0" collapsed="false">
      <c r="A318" s="10" t="s">
        <v>361</v>
      </c>
      <c r="B318" s="11" t="n">
        <v>45704</v>
      </c>
      <c r="C318" s="10" t="s">
        <v>36</v>
      </c>
      <c r="D318" s="10" t="s">
        <v>29</v>
      </c>
      <c r="E318" s="10" t="s">
        <v>33</v>
      </c>
      <c r="F318" s="10" t="s">
        <v>26</v>
      </c>
      <c r="G318" s="10" t="n">
        <v>1</v>
      </c>
      <c r="H318" s="12" t="n">
        <v>380</v>
      </c>
      <c r="I318" s="12" t="n">
        <v>260</v>
      </c>
      <c r="J318" s="13" t="n">
        <f aca="false">G318*H318</f>
        <v>380</v>
      </c>
      <c r="K318" s="13" t="n">
        <f aca="false">J318-G318*I318</f>
        <v>120</v>
      </c>
    </row>
    <row r="319" customFormat="false" ht="15" hidden="false" customHeight="false" outlineLevel="0" collapsed="false">
      <c r="A319" s="10" t="s">
        <v>362</v>
      </c>
      <c r="B319" s="11" t="n">
        <v>45705</v>
      </c>
      <c r="C319" s="10" t="s">
        <v>32</v>
      </c>
      <c r="D319" s="10" t="s">
        <v>29</v>
      </c>
      <c r="E319" s="10" t="s">
        <v>38</v>
      </c>
      <c r="F319" s="10" t="s">
        <v>34</v>
      </c>
      <c r="G319" s="10" t="n">
        <v>4</v>
      </c>
      <c r="H319" s="12" t="n">
        <v>520</v>
      </c>
      <c r="I319" s="12" t="n">
        <v>300</v>
      </c>
      <c r="J319" s="13" t="n">
        <f aca="false">G319*H319</f>
        <v>2080</v>
      </c>
      <c r="K319" s="13" t="n">
        <f aca="false">J319-G319*I319</f>
        <v>880</v>
      </c>
    </row>
    <row r="320" customFormat="false" ht="15" hidden="false" customHeight="false" outlineLevel="0" collapsed="false">
      <c r="A320" s="10" t="s">
        <v>363</v>
      </c>
      <c r="B320" s="11" t="n">
        <v>45705</v>
      </c>
      <c r="C320" s="10" t="s">
        <v>36</v>
      </c>
      <c r="D320" s="10" t="s">
        <v>29</v>
      </c>
      <c r="E320" s="10" t="s">
        <v>33</v>
      </c>
      <c r="F320" s="10" t="s">
        <v>34</v>
      </c>
      <c r="G320" s="10" t="n">
        <v>4</v>
      </c>
      <c r="H320" s="12" t="n">
        <v>380</v>
      </c>
      <c r="I320" s="12" t="n">
        <v>260</v>
      </c>
      <c r="J320" s="13" t="n">
        <f aca="false">G320*H320</f>
        <v>1520</v>
      </c>
      <c r="K320" s="13" t="n">
        <f aca="false">J320-G320*I320</f>
        <v>480</v>
      </c>
    </row>
    <row r="321" customFormat="false" ht="15" hidden="false" customHeight="false" outlineLevel="0" collapsed="false">
      <c r="A321" s="10" t="s">
        <v>364</v>
      </c>
      <c r="B321" s="11" t="n">
        <v>45706</v>
      </c>
      <c r="C321" s="10" t="s">
        <v>28</v>
      </c>
      <c r="D321" s="10" t="s">
        <v>29</v>
      </c>
      <c r="E321" s="10" t="s">
        <v>33</v>
      </c>
      <c r="F321" s="10" t="s">
        <v>26</v>
      </c>
      <c r="G321" s="10" t="n">
        <v>3</v>
      </c>
      <c r="H321" s="12" t="n">
        <v>450</v>
      </c>
      <c r="I321" s="12" t="n">
        <v>280</v>
      </c>
      <c r="J321" s="13" t="n">
        <f aca="false">G321*H321</f>
        <v>1350</v>
      </c>
      <c r="K321" s="13" t="n">
        <f aca="false">J321-G321*I321</f>
        <v>510</v>
      </c>
    </row>
    <row r="322" customFormat="false" ht="15" hidden="false" customHeight="false" outlineLevel="0" collapsed="false">
      <c r="A322" s="10" t="s">
        <v>365</v>
      </c>
      <c r="B322" s="11" t="n">
        <v>45707</v>
      </c>
      <c r="C322" s="10" t="s">
        <v>36</v>
      </c>
      <c r="D322" s="10" t="s">
        <v>29</v>
      </c>
      <c r="E322" s="10" t="s">
        <v>33</v>
      </c>
      <c r="F322" s="10" t="s">
        <v>26</v>
      </c>
      <c r="G322" s="10" t="n">
        <v>2</v>
      </c>
      <c r="H322" s="12" t="n">
        <v>380</v>
      </c>
      <c r="I322" s="12" t="n">
        <v>260</v>
      </c>
      <c r="J322" s="13" t="n">
        <f aca="false">G322*H322</f>
        <v>760</v>
      </c>
      <c r="K322" s="13" t="n">
        <f aca="false">J322-G322*I322</f>
        <v>240</v>
      </c>
    </row>
    <row r="323" customFormat="false" ht="15" hidden="false" customHeight="false" outlineLevel="0" collapsed="false">
      <c r="A323" s="10" t="s">
        <v>366</v>
      </c>
      <c r="B323" s="11" t="n">
        <v>45708</v>
      </c>
      <c r="C323" s="10" t="s">
        <v>41</v>
      </c>
      <c r="D323" s="10" t="s">
        <v>42</v>
      </c>
      <c r="E323" s="10" t="s">
        <v>25</v>
      </c>
      <c r="F323" s="10" t="s">
        <v>34</v>
      </c>
      <c r="G323" s="10" t="n">
        <v>1</v>
      </c>
      <c r="H323" s="12" t="n">
        <v>45</v>
      </c>
      <c r="I323" s="12" t="n">
        <v>20</v>
      </c>
      <c r="J323" s="13" t="n">
        <f aca="false">G323*H323</f>
        <v>45</v>
      </c>
      <c r="K323" s="13" t="n">
        <f aca="false">J323-G323*I323</f>
        <v>25</v>
      </c>
    </row>
    <row r="324" customFormat="false" ht="15" hidden="false" customHeight="false" outlineLevel="0" collapsed="false">
      <c r="A324" s="10" t="s">
        <v>367</v>
      </c>
      <c r="B324" s="11" t="n">
        <v>45712</v>
      </c>
      <c r="C324" s="10" t="s">
        <v>51</v>
      </c>
      <c r="D324" s="10" t="s">
        <v>42</v>
      </c>
      <c r="E324" s="10" t="s">
        <v>33</v>
      </c>
      <c r="F324" s="10" t="s">
        <v>26</v>
      </c>
      <c r="G324" s="10" t="n">
        <v>4</v>
      </c>
      <c r="H324" s="12" t="n">
        <v>130</v>
      </c>
      <c r="I324" s="12" t="n">
        <v>60</v>
      </c>
      <c r="J324" s="13" t="n">
        <f aca="false">G324*H324</f>
        <v>520</v>
      </c>
      <c r="K324" s="13" t="n">
        <f aca="false">J324-G324*I324</f>
        <v>280</v>
      </c>
    </row>
    <row r="325" customFormat="false" ht="15" hidden="false" customHeight="false" outlineLevel="0" collapsed="false">
      <c r="A325" s="10" t="s">
        <v>368</v>
      </c>
      <c r="B325" s="11" t="n">
        <v>45713</v>
      </c>
      <c r="C325" s="10" t="s">
        <v>55</v>
      </c>
      <c r="D325" s="10" t="s">
        <v>24</v>
      </c>
      <c r="E325" s="10" t="s">
        <v>33</v>
      </c>
      <c r="F325" s="10" t="s">
        <v>26</v>
      </c>
      <c r="G325" s="10" t="n">
        <v>1</v>
      </c>
      <c r="H325" s="12" t="n">
        <v>280</v>
      </c>
      <c r="I325" s="12" t="n">
        <v>190</v>
      </c>
      <c r="J325" s="13" t="n">
        <f aca="false">G325*H325</f>
        <v>280</v>
      </c>
      <c r="K325" s="13" t="n">
        <f aca="false">J325-G325*I325</f>
        <v>90</v>
      </c>
    </row>
    <row r="326" customFormat="false" ht="15" hidden="false" customHeight="false" outlineLevel="0" collapsed="false">
      <c r="A326" s="10" t="s">
        <v>369</v>
      </c>
      <c r="B326" s="11" t="n">
        <v>45716</v>
      </c>
      <c r="C326" s="10" t="s">
        <v>36</v>
      </c>
      <c r="D326" s="10" t="s">
        <v>29</v>
      </c>
      <c r="E326" s="10" t="s">
        <v>30</v>
      </c>
      <c r="F326" s="10" t="s">
        <v>26</v>
      </c>
      <c r="G326" s="10" t="n">
        <v>3</v>
      </c>
      <c r="H326" s="12" t="n">
        <v>380</v>
      </c>
      <c r="I326" s="12" t="n">
        <v>260</v>
      </c>
      <c r="J326" s="13" t="n">
        <f aca="false">G326*H326</f>
        <v>1140</v>
      </c>
      <c r="K326" s="13" t="n">
        <f aca="false">J326-G326*I326</f>
        <v>360</v>
      </c>
    </row>
    <row r="327" customFormat="false" ht="15" hidden="false" customHeight="false" outlineLevel="0" collapsed="false">
      <c r="A327" s="10" t="s">
        <v>370</v>
      </c>
      <c r="B327" s="11" t="n">
        <v>45716</v>
      </c>
      <c r="C327" s="10" t="s">
        <v>36</v>
      </c>
      <c r="D327" s="10" t="s">
        <v>29</v>
      </c>
      <c r="E327" s="10" t="s">
        <v>38</v>
      </c>
      <c r="F327" s="10" t="s">
        <v>26</v>
      </c>
      <c r="G327" s="10" t="n">
        <v>3</v>
      </c>
      <c r="H327" s="12" t="n">
        <v>380</v>
      </c>
      <c r="I327" s="12" t="n">
        <v>260</v>
      </c>
      <c r="J327" s="13" t="n">
        <f aca="false">G327*H327</f>
        <v>1140</v>
      </c>
      <c r="K327" s="13" t="n">
        <f aca="false">J327-G327*I327</f>
        <v>360</v>
      </c>
    </row>
    <row r="328" customFormat="false" ht="15" hidden="false" customHeight="false" outlineLevel="0" collapsed="false">
      <c r="A328" s="10" t="s">
        <v>371</v>
      </c>
      <c r="B328" s="11" t="n">
        <v>45716</v>
      </c>
      <c r="C328" s="10" t="s">
        <v>36</v>
      </c>
      <c r="D328" s="10" t="s">
        <v>29</v>
      </c>
      <c r="E328" s="10" t="s">
        <v>25</v>
      </c>
      <c r="F328" s="10" t="s">
        <v>34</v>
      </c>
      <c r="G328" s="10" t="n">
        <v>2</v>
      </c>
      <c r="H328" s="12" t="n">
        <v>380</v>
      </c>
      <c r="I328" s="12" t="n">
        <v>260</v>
      </c>
      <c r="J328" s="13" t="n">
        <f aca="false">G328*H328</f>
        <v>760</v>
      </c>
      <c r="K328" s="13" t="n">
        <f aca="false">J328-G328*I328</f>
        <v>240</v>
      </c>
    </row>
    <row r="329" customFormat="false" ht="15" hidden="false" customHeight="false" outlineLevel="0" collapsed="false">
      <c r="A329" s="10" t="s">
        <v>372</v>
      </c>
      <c r="B329" s="11" t="n">
        <v>45717</v>
      </c>
      <c r="C329" s="10" t="s">
        <v>41</v>
      </c>
      <c r="D329" s="10" t="s">
        <v>42</v>
      </c>
      <c r="E329" s="10" t="s">
        <v>33</v>
      </c>
      <c r="F329" s="10" t="s">
        <v>26</v>
      </c>
      <c r="G329" s="10" t="n">
        <v>4</v>
      </c>
      <c r="H329" s="12" t="n">
        <v>45</v>
      </c>
      <c r="I329" s="12" t="n">
        <v>20</v>
      </c>
      <c r="J329" s="13" t="n">
        <f aca="false">G329*H329</f>
        <v>180</v>
      </c>
      <c r="K329" s="13" t="n">
        <f aca="false">J329-G329*I329</f>
        <v>100</v>
      </c>
    </row>
    <row r="330" customFormat="false" ht="15" hidden="false" customHeight="false" outlineLevel="0" collapsed="false">
      <c r="A330" s="10" t="s">
        <v>373</v>
      </c>
      <c r="B330" s="11" t="n">
        <v>45718</v>
      </c>
      <c r="C330" s="10" t="s">
        <v>36</v>
      </c>
      <c r="D330" s="10" t="s">
        <v>29</v>
      </c>
      <c r="E330" s="10" t="s">
        <v>30</v>
      </c>
      <c r="F330" s="10" t="s">
        <v>34</v>
      </c>
      <c r="G330" s="10" t="n">
        <v>1</v>
      </c>
      <c r="H330" s="12" t="n">
        <v>380</v>
      </c>
      <c r="I330" s="12" t="n">
        <v>260</v>
      </c>
      <c r="J330" s="13" t="n">
        <f aca="false">G330*H330</f>
        <v>380</v>
      </c>
      <c r="K330" s="13" t="n">
        <f aca="false">J330-G330*I330</f>
        <v>120</v>
      </c>
    </row>
    <row r="331" customFormat="false" ht="15" hidden="false" customHeight="false" outlineLevel="0" collapsed="false">
      <c r="A331" s="10" t="s">
        <v>374</v>
      </c>
      <c r="B331" s="11" t="n">
        <v>45718</v>
      </c>
      <c r="C331" s="10" t="s">
        <v>55</v>
      </c>
      <c r="D331" s="10" t="s">
        <v>24</v>
      </c>
      <c r="E331" s="10" t="s">
        <v>25</v>
      </c>
      <c r="F331" s="10" t="s">
        <v>34</v>
      </c>
      <c r="G331" s="10" t="n">
        <v>3</v>
      </c>
      <c r="H331" s="12" t="n">
        <v>280</v>
      </c>
      <c r="I331" s="12" t="n">
        <v>190</v>
      </c>
      <c r="J331" s="13" t="n">
        <f aca="false">G331*H331</f>
        <v>840</v>
      </c>
      <c r="K331" s="13" t="n">
        <f aca="false">J331-G331*I331</f>
        <v>270</v>
      </c>
    </row>
    <row r="332" customFormat="false" ht="15" hidden="false" customHeight="false" outlineLevel="0" collapsed="false">
      <c r="A332" s="10" t="s">
        <v>375</v>
      </c>
      <c r="B332" s="11" t="n">
        <v>45719</v>
      </c>
      <c r="C332" s="10" t="s">
        <v>28</v>
      </c>
      <c r="D332" s="10" t="s">
        <v>29</v>
      </c>
      <c r="E332" s="10" t="s">
        <v>38</v>
      </c>
      <c r="F332" s="10" t="s">
        <v>26</v>
      </c>
      <c r="G332" s="10" t="n">
        <v>2</v>
      </c>
      <c r="H332" s="12" t="n">
        <v>450</v>
      </c>
      <c r="I332" s="12" t="n">
        <v>280</v>
      </c>
      <c r="J332" s="13" t="n">
        <f aca="false">G332*H332</f>
        <v>900</v>
      </c>
      <c r="K332" s="13" t="n">
        <f aca="false">J332-G332*I332</f>
        <v>340</v>
      </c>
    </row>
    <row r="333" customFormat="false" ht="15" hidden="false" customHeight="false" outlineLevel="0" collapsed="false">
      <c r="A333" s="10" t="s">
        <v>376</v>
      </c>
      <c r="B333" s="11" t="n">
        <v>45720</v>
      </c>
      <c r="C333" s="10" t="s">
        <v>53</v>
      </c>
      <c r="D333" s="10" t="s">
        <v>24</v>
      </c>
      <c r="E333" s="10" t="s">
        <v>33</v>
      </c>
      <c r="F333" s="10" t="s">
        <v>26</v>
      </c>
      <c r="G333" s="10" t="n">
        <v>1</v>
      </c>
      <c r="H333" s="12" t="n">
        <v>300</v>
      </c>
      <c r="I333" s="12" t="n">
        <v>200</v>
      </c>
      <c r="J333" s="13" t="n">
        <f aca="false">G333*H333</f>
        <v>300</v>
      </c>
      <c r="K333" s="13" t="n">
        <f aca="false">J333-G333*I333</f>
        <v>100</v>
      </c>
    </row>
    <row r="334" customFormat="false" ht="15" hidden="false" customHeight="false" outlineLevel="0" collapsed="false">
      <c r="A334" s="10" t="s">
        <v>377</v>
      </c>
      <c r="B334" s="11" t="n">
        <v>45720</v>
      </c>
      <c r="C334" s="10" t="s">
        <v>49</v>
      </c>
      <c r="D334" s="10" t="s">
        <v>24</v>
      </c>
      <c r="E334" s="10" t="s">
        <v>38</v>
      </c>
      <c r="F334" s="10" t="s">
        <v>26</v>
      </c>
      <c r="G334" s="10" t="n">
        <v>1</v>
      </c>
      <c r="H334" s="12" t="n">
        <v>250</v>
      </c>
      <c r="I334" s="12" t="n">
        <v>170</v>
      </c>
      <c r="J334" s="13" t="n">
        <f aca="false">G334*H334</f>
        <v>250</v>
      </c>
      <c r="K334" s="13" t="n">
        <f aca="false">J334-G334*I334</f>
        <v>80</v>
      </c>
    </row>
    <row r="335" customFormat="false" ht="15" hidden="false" customHeight="false" outlineLevel="0" collapsed="false">
      <c r="A335" s="10" t="s">
        <v>378</v>
      </c>
      <c r="B335" s="11" t="n">
        <v>45723</v>
      </c>
      <c r="C335" s="10" t="s">
        <v>32</v>
      </c>
      <c r="D335" s="10" t="s">
        <v>29</v>
      </c>
      <c r="E335" s="10" t="s">
        <v>38</v>
      </c>
      <c r="F335" s="10" t="s">
        <v>26</v>
      </c>
      <c r="G335" s="10" t="n">
        <v>2</v>
      </c>
      <c r="H335" s="12" t="n">
        <v>520</v>
      </c>
      <c r="I335" s="12" t="n">
        <v>300</v>
      </c>
      <c r="J335" s="13" t="n">
        <f aca="false">G335*H335</f>
        <v>1040</v>
      </c>
      <c r="K335" s="13" t="n">
        <f aca="false">J335-G335*I335</f>
        <v>440</v>
      </c>
    </row>
    <row r="336" customFormat="false" ht="15" hidden="false" customHeight="false" outlineLevel="0" collapsed="false">
      <c r="A336" s="10" t="s">
        <v>379</v>
      </c>
      <c r="B336" s="11" t="n">
        <v>45723</v>
      </c>
      <c r="C336" s="10" t="s">
        <v>28</v>
      </c>
      <c r="D336" s="10" t="s">
        <v>29</v>
      </c>
      <c r="E336" s="10" t="s">
        <v>38</v>
      </c>
      <c r="F336" s="10" t="s">
        <v>26</v>
      </c>
      <c r="G336" s="10" t="n">
        <v>2</v>
      </c>
      <c r="H336" s="12" t="n">
        <v>450</v>
      </c>
      <c r="I336" s="12" t="n">
        <v>280</v>
      </c>
      <c r="J336" s="13" t="n">
        <f aca="false">G336*H336</f>
        <v>900</v>
      </c>
      <c r="K336" s="13" t="n">
        <f aca="false">J336-G336*I336</f>
        <v>340</v>
      </c>
    </row>
    <row r="337" customFormat="false" ht="15" hidden="false" customHeight="false" outlineLevel="0" collapsed="false">
      <c r="A337" s="10" t="s">
        <v>380</v>
      </c>
      <c r="B337" s="11" t="n">
        <v>45725</v>
      </c>
      <c r="C337" s="10" t="s">
        <v>23</v>
      </c>
      <c r="D337" s="10" t="s">
        <v>24</v>
      </c>
      <c r="E337" s="10" t="s">
        <v>38</v>
      </c>
      <c r="F337" s="10" t="s">
        <v>34</v>
      </c>
      <c r="G337" s="10" t="n">
        <v>3</v>
      </c>
      <c r="H337" s="12" t="n">
        <v>260</v>
      </c>
      <c r="I337" s="12" t="n">
        <v>180</v>
      </c>
      <c r="J337" s="13" t="n">
        <f aca="false">G337*H337</f>
        <v>780</v>
      </c>
      <c r="K337" s="13" t="n">
        <f aca="false">J337-G337*I337</f>
        <v>240</v>
      </c>
    </row>
    <row r="338" customFormat="false" ht="15" hidden="false" customHeight="false" outlineLevel="0" collapsed="false">
      <c r="A338" s="10" t="s">
        <v>381</v>
      </c>
      <c r="B338" s="11" t="n">
        <v>45727</v>
      </c>
      <c r="C338" s="10" t="s">
        <v>36</v>
      </c>
      <c r="D338" s="10" t="s">
        <v>29</v>
      </c>
      <c r="E338" s="10" t="s">
        <v>38</v>
      </c>
      <c r="F338" s="10" t="s">
        <v>26</v>
      </c>
      <c r="G338" s="10" t="n">
        <v>3</v>
      </c>
      <c r="H338" s="12" t="n">
        <v>380</v>
      </c>
      <c r="I338" s="12" t="n">
        <v>260</v>
      </c>
      <c r="J338" s="13" t="n">
        <f aca="false">G338*H338</f>
        <v>1140</v>
      </c>
      <c r="K338" s="13" t="n">
        <f aca="false">J338-G338*I338</f>
        <v>360</v>
      </c>
    </row>
    <row r="339" customFormat="false" ht="15" hidden="false" customHeight="false" outlineLevel="0" collapsed="false">
      <c r="A339" s="10" t="s">
        <v>382</v>
      </c>
      <c r="B339" s="11" t="n">
        <v>45730</v>
      </c>
      <c r="C339" s="10" t="s">
        <v>84</v>
      </c>
      <c r="D339" s="10" t="s">
        <v>42</v>
      </c>
      <c r="E339" s="10" t="s">
        <v>25</v>
      </c>
      <c r="F339" s="10" t="s">
        <v>34</v>
      </c>
      <c r="G339" s="10" t="n">
        <v>3</v>
      </c>
      <c r="H339" s="12" t="n">
        <v>480</v>
      </c>
      <c r="I339" s="12" t="n">
        <v>220</v>
      </c>
      <c r="J339" s="13" t="n">
        <f aca="false">G339*H339</f>
        <v>1440</v>
      </c>
      <c r="K339" s="13" t="n">
        <f aca="false">J339-G339*I339</f>
        <v>780</v>
      </c>
    </row>
    <row r="340" customFormat="false" ht="15" hidden="false" customHeight="false" outlineLevel="0" collapsed="false">
      <c r="A340" s="10" t="s">
        <v>383</v>
      </c>
      <c r="B340" s="11" t="n">
        <v>45730</v>
      </c>
      <c r="C340" s="10" t="s">
        <v>41</v>
      </c>
      <c r="D340" s="10" t="s">
        <v>42</v>
      </c>
      <c r="E340" s="10" t="s">
        <v>33</v>
      </c>
      <c r="F340" s="10" t="s">
        <v>26</v>
      </c>
      <c r="G340" s="10" t="n">
        <v>3</v>
      </c>
      <c r="H340" s="12" t="n">
        <v>45</v>
      </c>
      <c r="I340" s="12" t="n">
        <v>20</v>
      </c>
      <c r="J340" s="13" t="n">
        <f aca="false">G340*H340</f>
        <v>135</v>
      </c>
      <c r="K340" s="13" t="n">
        <f aca="false">J340-G340*I340</f>
        <v>75</v>
      </c>
    </row>
    <row r="341" customFormat="false" ht="15" hidden="false" customHeight="false" outlineLevel="0" collapsed="false">
      <c r="A341" s="10" t="s">
        <v>384</v>
      </c>
      <c r="B341" s="11" t="n">
        <v>45731</v>
      </c>
      <c r="C341" s="10" t="s">
        <v>55</v>
      </c>
      <c r="D341" s="10" t="s">
        <v>24</v>
      </c>
      <c r="E341" s="10" t="s">
        <v>33</v>
      </c>
      <c r="F341" s="10" t="s">
        <v>34</v>
      </c>
      <c r="G341" s="10" t="n">
        <v>2</v>
      </c>
      <c r="H341" s="12" t="n">
        <v>280</v>
      </c>
      <c r="I341" s="12" t="n">
        <v>190</v>
      </c>
      <c r="J341" s="13" t="n">
        <f aca="false">G341*H341</f>
        <v>560</v>
      </c>
      <c r="K341" s="13" t="n">
        <f aca="false">J341-G341*I341</f>
        <v>180</v>
      </c>
    </row>
    <row r="342" customFormat="false" ht="15" hidden="false" customHeight="false" outlineLevel="0" collapsed="false">
      <c r="A342" s="10" t="s">
        <v>385</v>
      </c>
      <c r="B342" s="11" t="n">
        <v>45731</v>
      </c>
      <c r="C342" s="10" t="s">
        <v>23</v>
      </c>
      <c r="D342" s="10" t="s">
        <v>24</v>
      </c>
      <c r="E342" s="10" t="s">
        <v>30</v>
      </c>
      <c r="F342" s="10" t="s">
        <v>26</v>
      </c>
      <c r="G342" s="10" t="n">
        <v>3</v>
      </c>
      <c r="H342" s="12" t="n">
        <v>260</v>
      </c>
      <c r="I342" s="12" t="n">
        <v>180</v>
      </c>
      <c r="J342" s="13" t="n">
        <f aca="false">G342*H342</f>
        <v>780</v>
      </c>
      <c r="K342" s="13" t="n">
        <f aca="false">J342-G342*I342</f>
        <v>240</v>
      </c>
    </row>
    <row r="343" customFormat="false" ht="15" hidden="false" customHeight="false" outlineLevel="0" collapsed="false">
      <c r="A343" s="10" t="s">
        <v>386</v>
      </c>
      <c r="B343" s="11" t="n">
        <v>45731</v>
      </c>
      <c r="C343" s="10" t="s">
        <v>36</v>
      </c>
      <c r="D343" s="10" t="s">
        <v>29</v>
      </c>
      <c r="E343" s="10" t="s">
        <v>57</v>
      </c>
      <c r="F343" s="10" t="s">
        <v>26</v>
      </c>
      <c r="G343" s="10" t="n">
        <v>2</v>
      </c>
      <c r="H343" s="12" t="n">
        <v>380</v>
      </c>
      <c r="I343" s="12" t="n">
        <v>260</v>
      </c>
      <c r="J343" s="13" t="n">
        <f aca="false">G343*H343</f>
        <v>760</v>
      </c>
      <c r="K343" s="13" t="n">
        <f aca="false">J343-G343*I343</f>
        <v>240</v>
      </c>
    </row>
    <row r="344" customFormat="false" ht="15" hidden="false" customHeight="false" outlineLevel="0" collapsed="false">
      <c r="A344" s="10" t="s">
        <v>387</v>
      </c>
      <c r="B344" s="11" t="n">
        <v>45732</v>
      </c>
      <c r="C344" s="10" t="s">
        <v>67</v>
      </c>
      <c r="D344" s="10" t="s">
        <v>68</v>
      </c>
      <c r="E344" s="10" t="s">
        <v>33</v>
      </c>
      <c r="F344" s="10" t="s">
        <v>34</v>
      </c>
      <c r="G344" s="10" t="n">
        <v>1</v>
      </c>
      <c r="H344" s="12" t="n">
        <v>2600</v>
      </c>
      <c r="I344" s="12" t="n">
        <v>2100</v>
      </c>
      <c r="J344" s="13" t="n">
        <f aca="false">G344*H344</f>
        <v>2600</v>
      </c>
      <c r="K344" s="13" t="n">
        <f aca="false">J344-G344*I344</f>
        <v>500</v>
      </c>
    </row>
    <row r="345" customFormat="false" ht="15" hidden="false" customHeight="false" outlineLevel="0" collapsed="false">
      <c r="A345" s="10" t="s">
        <v>388</v>
      </c>
      <c r="B345" s="11" t="n">
        <v>45733</v>
      </c>
      <c r="C345" s="10" t="s">
        <v>55</v>
      </c>
      <c r="D345" s="10" t="s">
        <v>24</v>
      </c>
      <c r="E345" s="10" t="s">
        <v>33</v>
      </c>
      <c r="F345" s="10" t="s">
        <v>26</v>
      </c>
      <c r="G345" s="10" t="n">
        <v>4</v>
      </c>
      <c r="H345" s="12" t="n">
        <v>280</v>
      </c>
      <c r="I345" s="12" t="n">
        <v>190</v>
      </c>
      <c r="J345" s="13" t="n">
        <f aca="false">G345*H345</f>
        <v>1120</v>
      </c>
      <c r="K345" s="13" t="n">
        <f aca="false">J345-G345*I345</f>
        <v>360</v>
      </c>
    </row>
    <row r="346" customFormat="false" ht="15" hidden="false" customHeight="false" outlineLevel="0" collapsed="false">
      <c r="A346" s="10" t="s">
        <v>389</v>
      </c>
      <c r="B346" s="11" t="n">
        <v>45734</v>
      </c>
      <c r="C346" s="10" t="s">
        <v>55</v>
      </c>
      <c r="D346" s="10" t="s">
        <v>24</v>
      </c>
      <c r="E346" s="10" t="s">
        <v>33</v>
      </c>
      <c r="F346" s="10" t="s">
        <v>26</v>
      </c>
      <c r="G346" s="10" t="n">
        <v>3</v>
      </c>
      <c r="H346" s="12" t="n">
        <v>280</v>
      </c>
      <c r="I346" s="12" t="n">
        <v>190</v>
      </c>
      <c r="J346" s="13" t="n">
        <f aca="false">G346*H346</f>
        <v>840</v>
      </c>
      <c r="K346" s="13" t="n">
        <f aca="false">J346-G346*I346</f>
        <v>270</v>
      </c>
    </row>
    <row r="347" customFormat="false" ht="15" hidden="false" customHeight="false" outlineLevel="0" collapsed="false">
      <c r="A347" s="10" t="s">
        <v>390</v>
      </c>
      <c r="B347" s="11" t="n">
        <v>45734</v>
      </c>
      <c r="C347" s="10" t="s">
        <v>23</v>
      </c>
      <c r="D347" s="10" t="s">
        <v>24</v>
      </c>
      <c r="E347" s="10" t="s">
        <v>30</v>
      </c>
      <c r="F347" s="10" t="s">
        <v>26</v>
      </c>
      <c r="G347" s="10" t="n">
        <v>4</v>
      </c>
      <c r="H347" s="12" t="n">
        <v>260</v>
      </c>
      <c r="I347" s="12" t="n">
        <v>180</v>
      </c>
      <c r="J347" s="13" t="n">
        <f aca="false">G347*H347</f>
        <v>1040</v>
      </c>
      <c r="K347" s="13" t="n">
        <f aca="false">J347-G347*I347</f>
        <v>320</v>
      </c>
    </row>
    <row r="348" customFormat="false" ht="15" hidden="false" customHeight="false" outlineLevel="0" collapsed="false">
      <c r="A348" s="10" t="s">
        <v>391</v>
      </c>
      <c r="B348" s="11" t="n">
        <v>45736</v>
      </c>
      <c r="C348" s="10" t="s">
        <v>23</v>
      </c>
      <c r="D348" s="10" t="s">
        <v>24</v>
      </c>
      <c r="E348" s="10" t="s">
        <v>38</v>
      </c>
      <c r="F348" s="10" t="s">
        <v>26</v>
      </c>
      <c r="G348" s="10" t="n">
        <v>2</v>
      </c>
      <c r="H348" s="12" t="n">
        <v>260</v>
      </c>
      <c r="I348" s="12" t="n">
        <v>180</v>
      </c>
      <c r="J348" s="13" t="n">
        <f aca="false">G348*H348</f>
        <v>520</v>
      </c>
      <c r="K348" s="13" t="n">
        <f aca="false">J348-G348*I348</f>
        <v>160</v>
      </c>
    </row>
    <row r="349" customFormat="false" ht="15" hidden="false" customHeight="false" outlineLevel="0" collapsed="false">
      <c r="A349" s="10" t="s">
        <v>392</v>
      </c>
      <c r="B349" s="11" t="n">
        <v>45736</v>
      </c>
      <c r="C349" s="10" t="s">
        <v>41</v>
      </c>
      <c r="D349" s="10" t="s">
        <v>42</v>
      </c>
      <c r="E349" s="10" t="s">
        <v>30</v>
      </c>
      <c r="F349" s="10" t="s">
        <v>34</v>
      </c>
      <c r="G349" s="10" t="n">
        <v>2</v>
      </c>
      <c r="H349" s="12" t="n">
        <v>45</v>
      </c>
      <c r="I349" s="12" t="n">
        <v>20</v>
      </c>
      <c r="J349" s="13" t="n">
        <f aca="false">G349*H349</f>
        <v>90</v>
      </c>
      <c r="K349" s="13" t="n">
        <f aca="false">J349-G349*I349</f>
        <v>50</v>
      </c>
    </row>
    <row r="350" customFormat="false" ht="15" hidden="false" customHeight="false" outlineLevel="0" collapsed="false">
      <c r="A350" s="10" t="s">
        <v>393</v>
      </c>
      <c r="B350" s="11" t="n">
        <v>45740</v>
      </c>
      <c r="C350" s="10" t="s">
        <v>55</v>
      </c>
      <c r="D350" s="10" t="s">
        <v>24</v>
      </c>
      <c r="E350" s="10" t="s">
        <v>30</v>
      </c>
      <c r="F350" s="10" t="s">
        <v>26</v>
      </c>
      <c r="G350" s="10" t="n">
        <v>3</v>
      </c>
      <c r="H350" s="12" t="n">
        <v>280</v>
      </c>
      <c r="I350" s="12" t="n">
        <v>190</v>
      </c>
      <c r="J350" s="13" t="n">
        <f aca="false">G350*H350</f>
        <v>840</v>
      </c>
      <c r="K350" s="13" t="n">
        <f aca="false">J350-G350*I350</f>
        <v>270</v>
      </c>
    </row>
    <row r="351" customFormat="false" ht="15" hidden="false" customHeight="false" outlineLevel="0" collapsed="false">
      <c r="A351" s="10" t="s">
        <v>394</v>
      </c>
      <c r="B351" s="11" t="n">
        <v>45740</v>
      </c>
      <c r="C351" s="10" t="s">
        <v>53</v>
      </c>
      <c r="D351" s="10" t="s">
        <v>24</v>
      </c>
      <c r="E351" s="10" t="s">
        <v>38</v>
      </c>
      <c r="F351" s="10" t="s">
        <v>26</v>
      </c>
      <c r="G351" s="10" t="n">
        <v>3</v>
      </c>
      <c r="H351" s="12" t="n">
        <v>300</v>
      </c>
      <c r="I351" s="12" t="n">
        <v>200</v>
      </c>
      <c r="J351" s="13" t="n">
        <f aca="false">G351*H351</f>
        <v>900</v>
      </c>
      <c r="K351" s="13" t="n">
        <f aca="false">J351-G351*I351</f>
        <v>300</v>
      </c>
    </row>
    <row r="352" customFormat="false" ht="15" hidden="false" customHeight="false" outlineLevel="0" collapsed="false">
      <c r="A352" s="10" t="s">
        <v>395</v>
      </c>
      <c r="B352" s="11" t="n">
        <v>45740</v>
      </c>
      <c r="C352" s="10" t="s">
        <v>51</v>
      </c>
      <c r="D352" s="10" t="s">
        <v>42</v>
      </c>
      <c r="E352" s="10" t="s">
        <v>38</v>
      </c>
      <c r="F352" s="10" t="s">
        <v>26</v>
      </c>
      <c r="G352" s="10" t="n">
        <v>3</v>
      </c>
      <c r="H352" s="12" t="n">
        <v>130</v>
      </c>
      <c r="I352" s="12" t="n">
        <v>60</v>
      </c>
      <c r="J352" s="13" t="n">
        <f aca="false">G352*H352</f>
        <v>390</v>
      </c>
      <c r="K352" s="13" t="n">
        <f aca="false">J352-G352*I352</f>
        <v>210</v>
      </c>
    </row>
    <row r="353" customFormat="false" ht="15" hidden="false" customHeight="false" outlineLevel="0" collapsed="false">
      <c r="A353" s="10" t="s">
        <v>396</v>
      </c>
      <c r="B353" s="11" t="n">
        <v>45741</v>
      </c>
      <c r="C353" s="10" t="s">
        <v>32</v>
      </c>
      <c r="D353" s="10" t="s">
        <v>29</v>
      </c>
      <c r="E353" s="10" t="s">
        <v>38</v>
      </c>
      <c r="F353" s="10" t="s">
        <v>34</v>
      </c>
      <c r="G353" s="10" t="n">
        <v>3</v>
      </c>
      <c r="H353" s="12" t="n">
        <v>520</v>
      </c>
      <c r="I353" s="12" t="n">
        <v>300</v>
      </c>
      <c r="J353" s="13" t="n">
        <f aca="false">G353*H353</f>
        <v>1560</v>
      </c>
      <c r="K353" s="13" t="n">
        <f aca="false">J353-G353*I353</f>
        <v>660</v>
      </c>
    </row>
    <row r="354" customFormat="false" ht="15" hidden="false" customHeight="false" outlineLevel="0" collapsed="false">
      <c r="A354" s="10" t="s">
        <v>397</v>
      </c>
      <c r="B354" s="11" t="n">
        <v>45745</v>
      </c>
      <c r="C354" s="10" t="s">
        <v>55</v>
      </c>
      <c r="D354" s="10" t="s">
        <v>24</v>
      </c>
      <c r="E354" s="10" t="s">
        <v>33</v>
      </c>
      <c r="F354" s="10" t="s">
        <v>34</v>
      </c>
      <c r="G354" s="10" t="n">
        <v>2</v>
      </c>
      <c r="H354" s="12" t="n">
        <v>280</v>
      </c>
      <c r="I354" s="12" t="n">
        <v>190</v>
      </c>
      <c r="J354" s="13" t="n">
        <f aca="false">G354*H354</f>
        <v>560</v>
      </c>
      <c r="K354" s="13" t="n">
        <f aca="false">J354-G354*I354</f>
        <v>180</v>
      </c>
    </row>
    <row r="355" customFormat="false" ht="15" hidden="false" customHeight="false" outlineLevel="0" collapsed="false">
      <c r="A355" s="10" t="s">
        <v>398</v>
      </c>
      <c r="B355" s="11" t="n">
        <v>45746</v>
      </c>
      <c r="C355" s="10" t="s">
        <v>36</v>
      </c>
      <c r="D355" s="10" t="s">
        <v>29</v>
      </c>
      <c r="E355" s="10" t="s">
        <v>57</v>
      </c>
      <c r="F355" s="10" t="s">
        <v>26</v>
      </c>
      <c r="G355" s="10" t="n">
        <v>3</v>
      </c>
      <c r="H355" s="12" t="n">
        <v>380</v>
      </c>
      <c r="I355" s="12" t="n">
        <v>260</v>
      </c>
      <c r="J355" s="13" t="n">
        <f aca="false">G355*H355</f>
        <v>1140</v>
      </c>
      <c r="K355" s="13" t="n">
        <f aca="false">J355-G355*I355</f>
        <v>360</v>
      </c>
    </row>
    <row r="356" customFormat="false" ht="15" hidden="false" customHeight="false" outlineLevel="0" collapsed="false">
      <c r="A356" s="10" t="s">
        <v>399</v>
      </c>
      <c r="B356" s="11" t="n">
        <v>45749</v>
      </c>
      <c r="C356" s="10" t="s">
        <v>23</v>
      </c>
      <c r="D356" s="10" t="s">
        <v>24</v>
      </c>
      <c r="E356" s="10" t="s">
        <v>33</v>
      </c>
      <c r="F356" s="10" t="s">
        <v>26</v>
      </c>
      <c r="G356" s="10" t="n">
        <v>2</v>
      </c>
      <c r="H356" s="12" t="n">
        <v>260</v>
      </c>
      <c r="I356" s="12" t="n">
        <v>180</v>
      </c>
      <c r="J356" s="13" t="n">
        <f aca="false">G356*H356</f>
        <v>520</v>
      </c>
      <c r="K356" s="13" t="n">
        <f aca="false">J356-G356*I356</f>
        <v>160</v>
      </c>
    </row>
    <row r="357" customFormat="false" ht="15" hidden="false" customHeight="false" outlineLevel="0" collapsed="false">
      <c r="A357" s="10" t="s">
        <v>400</v>
      </c>
      <c r="B357" s="11" t="n">
        <v>45750</v>
      </c>
      <c r="C357" s="10" t="s">
        <v>49</v>
      </c>
      <c r="D357" s="10" t="s">
        <v>24</v>
      </c>
      <c r="E357" s="10" t="s">
        <v>38</v>
      </c>
      <c r="F357" s="10" t="s">
        <v>34</v>
      </c>
      <c r="G357" s="10" t="n">
        <v>3</v>
      </c>
      <c r="H357" s="12" t="n">
        <v>250</v>
      </c>
      <c r="I357" s="12" t="n">
        <v>170</v>
      </c>
      <c r="J357" s="13" t="n">
        <f aca="false">G357*H357</f>
        <v>750</v>
      </c>
      <c r="K357" s="13" t="n">
        <f aca="false">J357-G357*I357</f>
        <v>240</v>
      </c>
    </row>
    <row r="358" customFormat="false" ht="15" hidden="false" customHeight="false" outlineLevel="0" collapsed="false">
      <c r="A358" s="10" t="s">
        <v>401</v>
      </c>
      <c r="B358" s="11" t="n">
        <v>45754</v>
      </c>
      <c r="C358" s="10" t="s">
        <v>101</v>
      </c>
      <c r="D358" s="10" t="s">
        <v>68</v>
      </c>
      <c r="E358" s="10" t="s">
        <v>38</v>
      </c>
      <c r="F358" s="10" t="s">
        <v>26</v>
      </c>
      <c r="G358" s="10" t="n">
        <v>2</v>
      </c>
      <c r="H358" s="12" t="n">
        <v>4200</v>
      </c>
      <c r="I358" s="12" t="n">
        <v>3300</v>
      </c>
      <c r="J358" s="13" t="n">
        <f aca="false">G358*H358</f>
        <v>8400</v>
      </c>
      <c r="K358" s="13" t="n">
        <f aca="false">J358-G358*I358</f>
        <v>1800</v>
      </c>
    </row>
    <row r="359" customFormat="false" ht="15" hidden="false" customHeight="false" outlineLevel="0" collapsed="false">
      <c r="A359" s="10" t="s">
        <v>402</v>
      </c>
      <c r="B359" s="11" t="n">
        <v>45756</v>
      </c>
      <c r="C359" s="10" t="s">
        <v>23</v>
      </c>
      <c r="D359" s="10" t="s">
        <v>24</v>
      </c>
      <c r="E359" s="10" t="s">
        <v>38</v>
      </c>
      <c r="F359" s="10" t="s">
        <v>26</v>
      </c>
      <c r="G359" s="10" t="n">
        <v>4</v>
      </c>
      <c r="H359" s="12" t="n">
        <v>260</v>
      </c>
      <c r="I359" s="12" t="n">
        <v>180</v>
      </c>
      <c r="J359" s="13" t="n">
        <f aca="false">G359*H359</f>
        <v>1040</v>
      </c>
      <c r="K359" s="13" t="n">
        <f aca="false">J359-G359*I359</f>
        <v>320</v>
      </c>
    </row>
    <row r="360" customFormat="false" ht="15" hidden="false" customHeight="false" outlineLevel="0" collapsed="false">
      <c r="A360" s="10" t="s">
        <v>403</v>
      </c>
      <c r="B360" s="11" t="n">
        <v>45757</v>
      </c>
      <c r="C360" s="10" t="s">
        <v>41</v>
      </c>
      <c r="D360" s="10" t="s">
        <v>42</v>
      </c>
      <c r="E360" s="10" t="s">
        <v>30</v>
      </c>
      <c r="F360" s="10" t="s">
        <v>34</v>
      </c>
      <c r="G360" s="10" t="n">
        <v>1</v>
      </c>
      <c r="H360" s="12" t="n">
        <v>45</v>
      </c>
      <c r="I360" s="12" t="n">
        <v>20</v>
      </c>
      <c r="J360" s="13" t="n">
        <f aca="false">G360*H360</f>
        <v>45</v>
      </c>
      <c r="K360" s="13" t="n">
        <f aca="false">J360-G360*I360</f>
        <v>25</v>
      </c>
    </row>
    <row r="361" customFormat="false" ht="15" hidden="false" customHeight="false" outlineLevel="0" collapsed="false">
      <c r="A361" s="10" t="s">
        <v>404</v>
      </c>
      <c r="B361" s="11" t="n">
        <v>45760</v>
      </c>
      <c r="C361" s="10" t="s">
        <v>49</v>
      </c>
      <c r="D361" s="10" t="s">
        <v>24</v>
      </c>
      <c r="E361" s="10" t="s">
        <v>38</v>
      </c>
      <c r="F361" s="10" t="s">
        <v>34</v>
      </c>
      <c r="G361" s="10" t="n">
        <v>3</v>
      </c>
      <c r="H361" s="12" t="n">
        <v>250</v>
      </c>
      <c r="I361" s="12" t="n">
        <v>170</v>
      </c>
      <c r="J361" s="13" t="n">
        <f aca="false">G361*H361</f>
        <v>750</v>
      </c>
      <c r="K361" s="13" t="n">
        <f aca="false">J361-G361*I361</f>
        <v>240</v>
      </c>
    </row>
    <row r="362" customFormat="false" ht="15" hidden="false" customHeight="false" outlineLevel="0" collapsed="false">
      <c r="A362" s="10" t="s">
        <v>405</v>
      </c>
      <c r="B362" s="11" t="n">
        <v>45761</v>
      </c>
      <c r="C362" s="10" t="s">
        <v>53</v>
      </c>
      <c r="D362" s="10" t="s">
        <v>24</v>
      </c>
      <c r="E362" s="10" t="s">
        <v>38</v>
      </c>
      <c r="F362" s="10" t="s">
        <v>26</v>
      </c>
      <c r="G362" s="10" t="n">
        <v>2</v>
      </c>
      <c r="H362" s="12" t="n">
        <v>300</v>
      </c>
      <c r="I362" s="12" t="n">
        <v>200</v>
      </c>
      <c r="J362" s="13" t="n">
        <f aca="false">G362*H362</f>
        <v>600</v>
      </c>
      <c r="K362" s="13" t="n">
        <f aca="false">J362-G362*I362</f>
        <v>200</v>
      </c>
    </row>
    <row r="363" customFormat="false" ht="15" hidden="false" customHeight="false" outlineLevel="0" collapsed="false">
      <c r="A363" s="10" t="s">
        <v>406</v>
      </c>
      <c r="B363" s="11" t="n">
        <v>45761</v>
      </c>
      <c r="C363" s="10" t="s">
        <v>32</v>
      </c>
      <c r="D363" s="10" t="s">
        <v>29</v>
      </c>
      <c r="E363" s="10" t="s">
        <v>30</v>
      </c>
      <c r="F363" s="10" t="s">
        <v>26</v>
      </c>
      <c r="G363" s="10" t="n">
        <v>3</v>
      </c>
      <c r="H363" s="12" t="n">
        <v>520</v>
      </c>
      <c r="I363" s="12" t="n">
        <v>300</v>
      </c>
      <c r="J363" s="13" t="n">
        <f aca="false">G363*H363</f>
        <v>1560</v>
      </c>
      <c r="K363" s="13" t="n">
        <f aca="false">J363-G363*I363</f>
        <v>660</v>
      </c>
    </row>
    <row r="364" customFormat="false" ht="15" hidden="false" customHeight="false" outlineLevel="0" collapsed="false">
      <c r="A364" s="10" t="s">
        <v>407</v>
      </c>
      <c r="B364" s="11" t="n">
        <v>45762</v>
      </c>
      <c r="C364" s="10" t="s">
        <v>23</v>
      </c>
      <c r="D364" s="10" t="s">
        <v>24</v>
      </c>
      <c r="E364" s="10" t="s">
        <v>38</v>
      </c>
      <c r="F364" s="10" t="s">
        <v>26</v>
      </c>
      <c r="G364" s="10" t="n">
        <v>2</v>
      </c>
      <c r="H364" s="12" t="n">
        <v>260</v>
      </c>
      <c r="I364" s="12" t="n">
        <v>180</v>
      </c>
      <c r="J364" s="13" t="n">
        <f aca="false">G364*H364</f>
        <v>520</v>
      </c>
      <c r="K364" s="13" t="n">
        <f aca="false">J364-G364*I364</f>
        <v>160</v>
      </c>
    </row>
    <row r="365" customFormat="false" ht="15" hidden="false" customHeight="false" outlineLevel="0" collapsed="false">
      <c r="A365" s="10" t="s">
        <v>408</v>
      </c>
      <c r="B365" s="11" t="n">
        <v>45763</v>
      </c>
      <c r="C365" s="10" t="s">
        <v>53</v>
      </c>
      <c r="D365" s="10" t="s">
        <v>24</v>
      </c>
      <c r="E365" s="10" t="s">
        <v>30</v>
      </c>
      <c r="F365" s="10" t="s">
        <v>26</v>
      </c>
      <c r="G365" s="10" t="n">
        <v>3</v>
      </c>
      <c r="H365" s="12" t="n">
        <v>300</v>
      </c>
      <c r="I365" s="12" t="n">
        <v>200</v>
      </c>
      <c r="J365" s="13" t="n">
        <f aca="false">G365*H365</f>
        <v>900</v>
      </c>
      <c r="K365" s="13" t="n">
        <f aca="false">J365-G365*I365</f>
        <v>300</v>
      </c>
    </row>
    <row r="366" customFormat="false" ht="15" hidden="false" customHeight="false" outlineLevel="0" collapsed="false">
      <c r="A366" s="10" t="s">
        <v>409</v>
      </c>
      <c r="B366" s="11" t="n">
        <v>45763</v>
      </c>
      <c r="C366" s="10" t="s">
        <v>55</v>
      </c>
      <c r="D366" s="10" t="s">
        <v>24</v>
      </c>
      <c r="E366" s="10" t="s">
        <v>33</v>
      </c>
      <c r="F366" s="10" t="s">
        <v>34</v>
      </c>
      <c r="G366" s="10" t="n">
        <v>4</v>
      </c>
      <c r="H366" s="12" t="n">
        <v>280</v>
      </c>
      <c r="I366" s="12" t="n">
        <v>190</v>
      </c>
      <c r="J366" s="13" t="n">
        <f aca="false">G366*H366</f>
        <v>1120</v>
      </c>
      <c r="K366" s="13" t="n">
        <f aca="false">J366-G366*I366</f>
        <v>360</v>
      </c>
    </row>
    <row r="367" customFormat="false" ht="15" hidden="false" customHeight="false" outlineLevel="0" collapsed="false">
      <c r="A367" s="10" t="s">
        <v>410</v>
      </c>
      <c r="B367" s="11" t="n">
        <v>45764</v>
      </c>
      <c r="C367" s="10" t="s">
        <v>49</v>
      </c>
      <c r="D367" s="10" t="s">
        <v>24</v>
      </c>
      <c r="E367" s="10" t="s">
        <v>33</v>
      </c>
      <c r="F367" s="10" t="s">
        <v>34</v>
      </c>
      <c r="G367" s="10" t="n">
        <v>1</v>
      </c>
      <c r="H367" s="12" t="n">
        <v>250</v>
      </c>
      <c r="I367" s="12" t="n">
        <v>170</v>
      </c>
      <c r="J367" s="13" t="n">
        <f aca="false">G367*H367</f>
        <v>250</v>
      </c>
      <c r="K367" s="13" t="n">
        <f aca="false">J367-G367*I367</f>
        <v>80</v>
      </c>
    </row>
    <row r="368" customFormat="false" ht="15" hidden="false" customHeight="false" outlineLevel="0" collapsed="false">
      <c r="A368" s="10" t="s">
        <v>411</v>
      </c>
      <c r="B368" s="11" t="n">
        <v>45764</v>
      </c>
      <c r="C368" s="10" t="s">
        <v>28</v>
      </c>
      <c r="D368" s="10" t="s">
        <v>29</v>
      </c>
      <c r="E368" s="10" t="s">
        <v>33</v>
      </c>
      <c r="F368" s="10" t="s">
        <v>26</v>
      </c>
      <c r="G368" s="10" t="n">
        <v>2</v>
      </c>
      <c r="H368" s="12" t="n">
        <v>450</v>
      </c>
      <c r="I368" s="12" t="n">
        <v>280</v>
      </c>
      <c r="J368" s="13" t="n">
        <f aca="false">G368*H368</f>
        <v>900</v>
      </c>
      <c r="K368" s="13" t="n">
        <f aca="false">J368-G368*I368</f>
        <v>340</v>
      </c>
    </row>
    <row r="369" customFormat="false" ht="15" hidden="false" customHeight="false" outlineLevel="0" collapsed="false">
      <c r="A369" s="10" t="s">
        <v>412</v>
      </c>
      <c r="B369" s="11" t="n">
        <v>45765</v>
      </c>
      <c r="C369" s="10" t="s">
        <v>55</v>
      </c>
      <c r="D369" s="10" t="s">
        <v>24</v>
      </c>
      <c r="E369" s="10" t="s">
        <v>38</v>
      </c>
      <c r="F369" s="10" t="s">
        <v>26</v>
      </c>
      <c r="G369" s="10" t="n">
        <v>1</v>
      </c>
      <c r="H369" s="12" t="n">
        <v>280</v>
      </c>
      <c r="I369" s="12" t="n">
        <v>190</v>
      </c>
      <c r="J369" s="13" t="n">
        <f aca="false">G369*H369</f>
        <v>280</v>
      </c>
      <c r="K369" s="13" t="n">
        <f aca="false">J369-G369*I369</f>
        <v>90</v>
      </c>
    </row>
    <row r="370" customFormat="false" ht="15" hidden="false" customHeight="false" outlineLevel="0" collapsed="false">
      <c r="A370" s="10" t="s">
        <v>413</v>
      </c>
      <c r="B370" s="11" t="n">
        <v>45766</v>
      </c>
      <c r="C370" s="10" t="s">
        <v>51</v>
      </c>
      <c r="D370" s="10" t="s">
        <v>42</v>
      </c>
      <c r="E370" s="10" t="s">
        <v>30</v>
      </c>
      <c r="F370" s="10" t="s">
        <v>34</v>
      </c>
      <c r="G370" s="10" t="n">
        <v>1</v>
      </c>
      <c r="H370" s="12" t="n">
        <v>130</v>
      </c>
      <c r="I370" s="12" t="n">
        <v>60</v>
      </c>
      <c r="J370" s="13" t="n">
        <f aca="false">G370*H370</f>
        <v>130</v>
      </c>
      <c r="K370" s="13" t="n">
        <f aca="false">J370-G370*I370</f>
        <v>70</v>
      </c>
    </row>
    <row r="371" customFormat="false" ht="15" hidden="false" customHeight="false" outlineLevel="0" collapsed="false">
      <c r="A371" s="10" t="s">
        <v>414</v>
      </c>
      <c r="B371" s="11" t="n">
        <v>45767</v>
      </c>
      <c r="C371" s="10" t="s">
        <v>41</v>
      </c>
      <c r="D371" s="10" t="s">
        <v>42</v>
      </c>
      <c r="E371" s="10" t="s">
        <v>33</v>
      </c>
      <c r="F371" s="10" t="s">
        <v>26</v>
      </c>
      <c r="G371" s="10" t="n">
        <v>4</v>
      </c>
      <c r="H371" s="12" t="n">
        <v>45</v>
      </c>
      <c r="I371" s="12" t="n">
        <v>20</v>
      </c>
      <c r="J371" s="13" t="n">
        <f aca="false">G371*H371</f>
        <v>180</v>
      </c>
      <c r="K371" s="13" t="n">
        <f aca="false">J371-G371*I371</f>
        <v>100</v>
      </c>
    </row>
    <row r="372" customFormat="false" ht="15" hidden="false" customHeight="false" outlineLevel="0" collapsed="false">
      <c r="A372" s="10" t="s">
        <v>415</v>
      </c>
      <c r="B372" s="11" t="n">
        <v>45767</v>
      </c>
      <c r="C372" s="10" t="s">
        <v>23</v>
      </c>
      <c r="D372" s="10" t="s">
        <v>24</v>
      </c>
      <c r="E372" s="10" t="s">
        <v>25</v>
      </c>
      <c r="F372" s="10" t="s">
        <v>34</v>
      </c>
      <c r="G372" s="10" t="n">
        <v>4</v>
      </c>
      <c r="H372" s="12" t="n">
        <v>260</v>
      </c>
      <c r="I372" s="12" t="n">
        <v>180</v>
      </c>
      <c r="J372" s="13" t="n">
        <f aca="false">G372*H372</f>
        <v>1040</v>
      </c>
      <c r="K372" s="13" t="n">
        <f aca="false">J372-G372*I372</f>
        <v>320</v>
      </c>
    </row>
    <row r="373" customFormat="false" ht="15" hidden="false" customHeight="false" outlineLevel="0" collapsed="false">
      <c r="A373" s="10" t="s">
        <v>416</v>
      </c>
      <c r="B373" s="11" t="n">
        <v>45767</v>
      </c>
      <c r="C373" s="10" t="s">
        <v>55</v>
      </c>
      <c r="D373" s="10" t="s">
        <v>24</v>
      </c>
      <c r="E373" s="10" t="s">
        <v>33</v>
      </c>
      <c r="F373" s="10" t="s">
        <v>26</v>
      </c>
      <c r="G373" s="10" t="n">
        <v>2</v>
      </c>
      <c r="H373" s="12" t="n">
        <v>280</v>
      </c>
      <c r="I373" s="12" t="n">
        <v>190</v>
      </c>
      <c r="J373" s="13" t="n">
        <f aca="false">G373*H373</f>
        <v>560</v>
      </c>
      <c r="K373" s="13" t="n">
        <f aca="false">J373-G373*I373</f>
        <v>180</v>
      </c>
    </row>
    <row r="374" customFormat="false" ht="15" hidden="false" customHeight="false" outlineLevel="0" collapsed="false">
      <c r="A374" s="10" t="s">
        <v>417</v>
      </c>
      <c r="B374" s="11" t="n">
        <v>45769</v>
      </c>
      <c r="C374" s="10" t="s">
        <v>36</v>
      </c>
      <c r="D374" s="10" t="s">
        <v>29</v>
      </c>
      <c r="E374" s="10" t="s">
        <v>33</v>
      </c>
      <c r="F374" s="10" t="s">
        <v>34</v>
      </c>
      <c r="G374" s="10" t="n">
        <v>1</v>
      </c>
      <c r="H374" s="12" t="n">
        <v>380</v>
      </c>
      <c r="I374" s="12" t="n">
        <v>260</v>
      </c>
      <c r="J374" s="13" t="n">
        <f aca="false">G374*H374</f>
        <v>380</v>
      </c>
      <c r="K374" s="13" t="n">
        <f aca="false">J374-G374*I374</f>
        <v>120</v>
      </c>
    </row>
    <row r="375" customFormat="false" ht="15" hidden="false" customHeight="false" outlineLevel="0" collapsed="false">
      <c r="A375" s="10" t="s">
        <v>418</v>
      </c>
      <c r="B375" s="11" t="n">
        <v>45771</v>
      </c>
      <c r="C375" s="10" t="s">
        <v>51</v>
      </c>
      <c r="D375" s="10" t="s">
        <v>42</v>
      </c>
      <c r="E375" s="10" t="s">
        <v>25</v>
      </c>
      <c r="F375" s="10" t="s">
        <v>34</v>
      </c>
      <c r="G375" s="10" t="n">
        <v>3</v>
      </c>
      <c r="H375" s="12" t="n">
        <v>130</v>
      </c>
      <c r="I375" s="12" t="n">
        <v>60</v>
      </c>
      <c r="J375" s="13" t="n">
        <f aca="false">G375*H375</f>
        <v>390</v>
      </c>
      <c r="K375" s="13" t="n">
        <f aca="false">J375-G375*I375</f>
        <v>210</v>
      </c>
    </row>
    <row r="376" customFormat="false" ht="15" hidden="false" customHeight="false" outlineLevel="0" collapsed="false">
      <c r="A376" s="10" t="s">
        <v>419</v>
      </c>
      <c r="B376" s="11" t="n">
        <v>45771</v>
      </c>
      <c r="C376" s="10" t="s">
        <v>55</v>
      </c>
      <c r="D376" s="10" t="s">
        <v>24</v>
      </c>
      <c r="E376" s="10" t="s">
        <v>25</v>
      </c>
      <c r="F376" s="10" t="s">
        <v>26</v>
      </c>
      <c r="G376" s="10" t="n">
        <v>4</v>
      </c>
      <c r="H376" s="12" t="n">
        <v>280</v>
      </c>
      <c r="I376" s="12" t="n">
        <v>190</v>
      </c>
      <c r="J376" s="13" t="n">
        <f aca="false">G376*H376</f>
        <v>1120</v>
      </c>
      <c r="K376" s="13" t="n">
        <f aca="false">J376-G376*I376</f>
        <v>360</v>
      </c>
    </row>
    <row r="377" customFormat="false" ht="15" hidden="false" customHeight="false" outlineLevel="0" collapsed="false">
      <c r="A377" s="10" t="s">
        <v>420</v>
      </c>
      <c r="B377" s="11" t="n">
        <v>45774</v>
      </c>
      <c r="C377" s="10" t="s">
        <v>41</v>
      </c>
      <c r="D377" s="10" t="s">
        <v>42</v>
      </c>
      <c r="E377" s="10" t="s">
        <v>33</v>
      </c>
      <c r="F377" s="10" t="s">
        <v>34</v>
      </c>
      <c r="G377" s="10" t="n">
        <v>1</v>
      </c>
      <c r="H377" s="12" t="n">
        <v>45</v>
      </c>
      <c r="I377" s="12" t="n">
        <v>20</v>
      </c>
      <c r="J377" s="13" t="n">
        <f aca="false">G377*H377</f>
        <v>45</v>
      </c>
      <c r="K377" s="13" t="n">
        <f aca="false">J377-G377*I377</f>
        <v>25</v>
      </c>
    </row>
    <row r="378" customFormat="false" ht="15" hidden="false" customHeight="false" outlineLevel="0" collapsed="false">
      <c r="A378" s="10" t="s">
        <v>421</v>
      </c>
      <c r="B378" s="11" t="n">
        <v>45776</v>
      </c>
      <c r="C378" s="10" t="s">
        <v>53</v>
      </c>
      <c r="D378" s="10" t="s">
        <v>24</v>
      </c>
      <c r="E378" s="10" t="s">
        <v>33</v>
      </c>
      <c r="F378" s="10" t="s">
        <v>34</v>
      </c>
      <c r="G378" s="10" t="n">
        <v>3</v>
      </c>
      <c r="H378" s="12" t="n">
        <v>300</v>
      </c>
      <c r="I378" s="12" t="n">
        <v>200</v>
      </c>
      <c r="J378" s="13" t="n">
        <f aca="false">G378*H378</f>
        <v>900</v>
      </c>
      <c r="K378" s="13" t="n">
        <f aca="false">J378-G378*I378</f>
        <v>300</v>
      </c>
    </row>
    <row r="379" customFormat="false" ht="15" hidden="false" customHeight="false" outlineLevel="0" collapsed="false">
      <c r="A379" s="10" t="s">
        <v>422</v>
      </c>
      <c r="B379" s="11" t="n">
        <v>45777</v>
      </c>
      <c r="C379" s="10" t="s">
        <v>36</v>
      </c>
      <c r="D379" s="10" t="s">
        <v>29</v>
      </c>
      <c r="E379" s="10" t="s">
        <v>38</v>
      </c>
      <c r="F379" s="10" t="s">
        <v>34</v>
      </c>
      <c r="G379" s="10" t="n">
        <v>4</v>
      </c>
      <c r="H379" s="12" t="n">
        <v>380</v>
      </c>
      <c r="I379" s="12" t="n">
        <v>260</v>
      </c>
      <c r="J379" s="13" t="n">
        <f aca="false">G379*H379</f>
        <v>1520</v>
      </c>
      <c r="K379" s="13" t="n">
        <f aca="false">J379-G379*I379</f>
        <v>480</v>
      </c>
    </row>
    <row r="380" customFormat="false" ht="15" hidden="false" customHeight="false" outlineLevel="0" collapsed="false">
      <c r="A380" s="10" t="s">
        <v>423</v>
      </c>
      <c r="B380" s="11" t="n">
        <v>45778</v>
      </c>
      <c r="C380" s="10" t="s">
        <v>28</v>
      </c>
      <c r="D380" s="10" t="s">
        <v>29</v>
      </c>
      <c r="E380" s="10" t="s">
        <v>38</v>
      </c>
      <c r="F380" s="10" t="s">
        <v>26</v>
      </c>
      <c r="G380" s="10" t="n">
        <v>1</v>
      </c>
      <c r="H380" s="12" t="n">
        <v>450</v>
      </c>
      <c r="I380" s="12" t="n">
        <v>280</v>
      </c>
      <c r="J380" s="13" t="n">
        <f aca="false">G380*H380</f>
        <v>450</v>
      </c>
      <c r="K380" s="13" t="n">
        <f aca="false">J380-G380*I380</f>
        <v>170</v>
      </c>
    </row>
    <row r="381" customFormat="false" ht="15" hidden="false" customHeight="false" outlineLevel="0" collapsed="false">
      <c r="A381" s="10" t="s">
        <v>424</v>
      </c>
      <c r="B381" s="11" t="n">
        <v>45779</v>
      </c>
      <c r="C381" s="10" t="s">
        <v>41</v>
      </c>
      <c r="D381" s="10" t="s">
        <v>42</v>
      </c>
      <c r="E381" s="10" t="s">
        <v>33</v>
      </c>
      <c r="F381" s="10" t="s">
        <v>26</v>
      </c>
      <c r="G381" s="10" t="n">
        <v>1</v>
      </c>
      <c r="H381" s="12" t="n">
        <v>45</v>
      </c>
      <c r="I381" s="12" t="n">
        <v>20</v>
      </c>
      <c r="J381" s="13" t="n">
        <f aca="false">G381*H381</f>
        <v>45</v>
      </c>
      <c r="K381" s="13" t="n">
        <f aca="false">J381-G381*I381</f>
        <v>25</v>
      </c>
    </row>
    <row r="382" customFormat="false" ht="15" hidden="false" customHeight="false" outlineLevel="0" collapsed="false">
      <c r="A382" s="10" t="s">
        <v>425</v>
      </c>
      <c r="B382" s="11" t="n">
        <v>45781</v>
      </c>
      <c r="C382" s="10" t="s">
        <v>32</v>
      </c>
      <c r="D382" s="10" t="s">
        <v>29</v>
      </c>
      <c r="E382" s="10" t="s">
        <v>25</v>
      </c>
      <c r="F382" s="10" t="s">
        <v>34</v>
      </c>
      <c r="G382" s="10" t="n">
        <v>4</v>
      </c>
      <c r="H382" s="12" t="n">
        <v>520</v>
      </c>
      <c r="I382" s="12" t="n">
        <v>300</v>
      </c>
      <c r="J382" s="13" t="n">
        <f aca="false">G382*H382</f>
        <v>2080</v>
      </c>
      <c r="K382" s="13" t="n">
        <f aca="false">J382-G382*I382</f>
        <v>880</v>
      </c>
    </row>
    <row r="383" customFormat="false" ht="15" hidden="false" customHeight="false" outlineLevel="0" collapsed="false">
      <c r="A383" s="10" t="s">
        <v>426</v>
      </c>
      <c r="B383" s="11" t="n">
        <v>45782</v>
      </c>
      <c r="C383" s="10" t="s">
        <v>32</v>
      </c>
      <c r="D383" s="10" t="s">
        <v>29</v>
      </c>
      <c r="E383" s="10" t="s">
        <v>33</v>
      </c>
      <c r="F383" s="10" t="s">
        <v>26</v>
      </c>
      <c r="G383" s="10" t="n">
        <v>1</v>
      </c>
      <c r="H383" s="12" t="n">
        <v>520</v>
      </c>
      <c r="I383" s="12" t="n">
        <v>300</v>
      </c>
      <c r="J383" s="13" t="n">
        <f aca="false">G383*H383</f>
        <v>520</v>
      </c>
      <c r="K383" s="13" t="n">
        <f aca="false">J383-G383*I383</f>
        <v>220</v>
      </c>
    </row>
    <row r="384" customFormat="false" ht="15" hidden="false" customHeight="false" outlineLevel="0" collapsed="false">
      <c r="A384" s="10" t="s">
        <v>427</v>
      </c>
      <c r="B384" s="11" t="n">
        <v>45784</v>
      </c>
      <c r="C384" s="10" t="s">
        <v>84</v>
      </c>
      <c r="D384" s="10" t="s">
        <v>42</v>
      </c>
      <c r="E384" s="10" t="s">
        <v>38</v>
      </c>
      <c r="F384" s="10" t="s">
        <v>34</v>
      </c>
      <c r="G384" s="10" t="n">
        <v>1</v>
      </c>
      <c r="H384" s="12" t="n">
        <v>480</v>
      </c>
      <c r="I384" s="12" t="n">
        <v>220</v>
      </c>
      <c r="J384" s="13" t="n">
        <f aca="false">G384*H384</f>
        <v>480</v>
      </c>
      <c r="K384" s="13" t="n">
        <f aca="false">J384-G384*I384</f>
        <v>260</v>
      </c>
    </row>
    <row r="385" customFormat="false" ht="15" hidden="false" customHeight="false" outlineLevel="0" collapsed="false">
      <c r="A385" s="10" t="s">
        <v>428</v>
      </c>
      <c r="B385" s="11" t="n">
        <v>45785</v>
      </c>
      <c r="C385" s="10" t="s">
        <v>28</v>
      </c>
      <c r="D385" s="10" t="s">
        <v>29</v>
      </c>
      <c r="E385" s="10" t="s">
        <v>38</v>
      </c>
      <c r="F385" s="10" t="s">
        <v>26</v>
      </c>
      <c r="G385" s="10" t="n">
        <v>3</v>
      </c>
      <c r="H385" s="12" t="n">
        <v>450</v>
      </c>
      <c r="I385" s="12" t="n">
        <v>280</v>
      </c>
      <c r="J385" s="13" t="n">
        <f aca="false">G385*H385</f>
        <v>1350</v>
      </c>
      <c r="K385" s="13" t="n">
        <f aca="false">J385-G385*I385</f>
        <v>510</v>
      </c>
    </row>
    <row r="386" customFormat="false" ht="15" hidden="false" customHeight="false" outlineLevel="0" collapsed="false">
      <c r="A386" s="10" t="s">
        <v>429</v>
      </c>
      <c r="B386" s="11" t="n">
        <v>45785</v>
      </c>
      <c r="C386" s="10" t="s">
        <v>53</v>
      </c>
      <c r="D386" s="10" t="s">
        <v>24</v>
      </c>
      <c r="E386" s="10" t="s">
        <v>38</v>
      </c>
      <c r="F386" s="10" t="s">
        <v>26</v>
      </c>
      <c r="G386" s="10" t="n">
        <v>1</v>
      </c>
      <c r="H386" s="12" t="n">
        <v>300</v>
      </c>
      <c r="I386" s="12" t="n">
        <v>200</v>
      </c>
      <c r="J386" s="13" t="n">
        <f aca="false">G386*H386</f>
        <v>300</v>
      </c>
      <c r="K386" s="13" t="n">
        <f aca="false">J386-G386*I386</f>
        <v>100</v>
      </c>
    </row>
    <row r="387" customFormat="false" ht="15" hidden="false" customHeight="false" outlineLevel="0" collapsed="false">
      <c r="A387" s="10" t="s">
        <v>430</v>
      </c>
      <c r="B387" s="11" t="n">
        <v>45786</v>
      </c>
      <c r="C387" s="10" t="s">
        <v>84</v>
      </c>
      <c r="D387" s="10" t="s">
        <v>42</v>
      </c>
      <c r="E387" s="10" t="s">
        <v>30</v>
      </c>
      <c r="F387" s="10" t="s">
        <v>34</v>
      </c>
      <c r="G387" s="10" t="n">
        <v>2</v>
      </c>
      <c r="H387" s="12" t="n">
        <v>480</v>
      </c>
      <c r="I387" s="12" t="n">
        <v>220</v>
      </c>
      <c r="J387" s="13" t="n">
        <f aca="false">G387*H387</f>
        <v>960</v>
      </c>
      <c r="K387" s="13" t="n">
        <f aca="false">J387-G387*I387</f>
        <v>520</v>
      </c>
    </row>
    <row r="388" customFormat="false" ht="15" hidden="false" customHeight="false" outlineLevel="0" collapsed="false">
      <c r="A388" s="10" t="s">
        <v>431</v>
      </c>
      <c r="B388" s="11" t="n">
        <v>45788</v>
      </c>
      <c r="C388" s="10" t="s">
        <v>67</v>
      </c>
      <c r="D388" s="10" t="s">
        <v>68</v>
      </c>
      <c r="E388" s="10" t="s">
        <v>38</v>
      </c>
      <c r="F388" s="10" t="s">
        <v>34</v>
      </c>
      <c r="G388" s="10" t="n">
        <v>2</v>
      </c>
      <c r="H388" s="12" t="n">
        <v>2600</v>
      </c>
      <c r="I388" s="12" t="n">
        <v>2100</v>
      </c>
      <c r="J388" s="13" t="n">
        <f aca="false">G388*H388</f>
        <v>5200</v>
      </c>
      <c r="K388" s="13" t="n">
        <f aca="false">J388-G388*I388</f>
        <v>1000</v>
      </c>
    </row>
    <row r="389" customFormat="false" ht="15" hidden="false" customHeight="false" outlineLevel="0" collapsed="false">
      <c r="A389" s="10" t="s">
        <v>432</v>
      </c>
      <c r="B389" s="11" t="n">
        <v>45788</v>
      </c>
      <c r="C389" s="10" t="s">
        <v>101</v>
      </c>
      <c r="D389" s="10" t="s">
        <v>68</v>
      </c>
      <c r="E389" s="10" t="s">
        <v>30</v>
      </c>
      <c r="F389" s="10" t="s">
        <v>26</v>
      </c>
      <c r="G389" s="10" t="n">
        <v>2</v>
      </c>
      <c r="H389" s="12" t="n">
        <v>4200</v>
      </c>
      <c r="I389" s="12" t="n">
        <v>3300</v>
      </c>
      <c r="J389" s="13" t="n">
        <f aca="false">G389*H389</f>
        <v>8400</v>
      </c>
      <c r="K389" s="13" t="n">
        <f aca="false">J389-G389*I389</f>
        <v>1800</v>
      </c>
    </row>
    <row r="390" customFormat="false" ht="15" hidden="false" customHeight="false" outlineLevel="0" collapsed="false">
      <c r="A390" s="10" t="s">
        <v>433</v>
      </c>
      <c r="B390" s="11" t="n">
        <v>45791</v>
      </c>
      <c r="C390" s="10" t="s">
        <v>53</v>
      </c>
      <c r="D390" s="10" t="s">
        <v>24</v>
      </c>
      <c r="E390" s="10" t="s">
        <v>38</v>
      </c>
      <c r="F390" s="10" t="s">
        <v>34</v>
      </c>
      <c r="G390" s="10" t="n">
        <v>2</v>
      </c>
      <c r="H390" s="12" t="n">
        <v>300</v>
      </c>
      <c r="I390" s="12" t="n">
        <v>200</v>
      </c>
      <c r="J390" s="13" t="n">
        <f aca="false">G390*H390</f>
        <v>600</v>
      </c>
      <c r="K390" s="13" t="n">
        <f aca="false">J390-G390*I390</f>
        <v>200</v>
      </c>
    </row>
    <row r="391" customFormat="false" ht="15" hidden="false" customHeight="false" outlineLevel="0" collapsed="false">
      <c r="A391" s="10" t="s">
        <v>434</v>
      </c>
      <c r="B391" s="11" t="n">
        <v>45792</v>
      </c>
      <c r="C391" s="10" t="s">
        <v>41</v>
      </c>
      <c r="D391" s="10" t="s">
        <v>42</v>
      </c>
      <c r="E391" s="10" t="s">
        <v>33</v>
      </c>
      <c r="F391" s="10" t="s">
        <v>26</v>
      </c>
      <c r="G391" s="10" t="n">
        <v>3</v>
      </c>
      <c r="H391" s="12" t="n">
        <v>45</v>
      </c>
      <c r="I391" s="12" t="n">
        <v>20</v>
      </c>
      <c r="J391" s="13" t="n">
        <f aca="false">G391*H391</f>
        <v>135</v>
      </c>
      <c r="K391" s="13" t="n">
        <f aca="false">J391-G391*I391</f>
        <v>75</v>
      </c>
    </row>
    <row r="392" customFormat="false" ht="15" hidden="false" customHeight="false" outlineLevel="0" collapsed="false">
      <c r="A392" s="10" t="s">
        <v>435</v>
      </c>
      <c r="B392" s="11" t="n">
        <v>45792</v>
      </c>
      <c r="C392" s="10" t="s">
        <v>28</v>
      </c>
      <c r="D392" s="10" t="s">
        <v>29</v>
      </c>
      <c r="E392" s="10" t="s">
        <v>38</v>
      </c>
      <c r="F392" s="10" t="s">
        <v>34</v>
      </c>
      <c r="G392" s="10" t="n">
        <v>1</v>
      </c>
      <c r="H392" s="12" t="n">
        <v>450</v>
      </c>
      <c r="I392" s="12" t="n">
        <v>280</v>
      </c>
      <c r="J392" s="13" t="n">
        <f aca="false">G392*H392</f>
        <v>450</v>
      </c>
      <c r="K392" s="13" t="n">
        <f aca="false">J392-G392*I392</f>
        <v>170</v>
      </c>
    </row>
    <row r="393" customFormat="false" ht="15" hidden="false" customHeight="false" outlineLevel="0" collapsed="false">
      <c r="A393" s="10" t="s">
        <v>436</v>
      </c>
      <c r="B393" s="11" t="n">
        <v>45793</v>
      </c>
      <c r="C393" s="10" t="s">
        <v>67</v>
      </c>
      <c r="D393" s="10" t="s">
        <v>68</v>
      </c>
      <c r="E393" s="10" t="s">
        <v>30</v>
      </c>
      <c r="F393" s="10" t="s">
        <v>26</v>
      </c>
      <c r="G393" s="10" t="n">
        <v>1</v>
      </c>
      <c r="H393" s="12" t="n">
        <v>2600</v>
      </c>
      <c r="I393" s="12" t="n">
        <v>2100</v>
      </c>
      <c r="J393" s="13" t="n">
        <f aca="false">G393*H393</f>
        <v>2600</v>
      </c>
      <c r="K393" s="13" t="n">
        <f aca="false">J393-G393*I393</f>
        <v>500</v>
      </c>
    </row>
    <row r="394" customFormat="false" ht="15" hidden="false" customHeight="false" outlineLevel="0" collapsed="false">
      <c r="A394" s="10" t="s">
        <v>437</v>
      </c>
      <c r="B394" s="11" t="n">
        <v>45794</v>
      </c>
      <c r="C394" s="10" t="s">
        <v>55</v>
      </c>
      <c r="D394" s="10" t="s">
        <v>24</v>
      </c>
      <c r="E394" s="10" t="s">
        <v>33</v>
      </c>
      <c r="F394" s="10" t="s">
        <v>34</v>
      </c>
      <c r="G394" s="10" t="n">
        <v>3</v>
      </c>
      <c r="H394" s="12" t="n">
        <v>280</v>
      </c>
      <c r="I394" s="12" t="n">
        <v>190</v>
      </c>
      <c r="J394" s="13" t="n">
        <f aca="false">G394*H394</f>
        <v>840</v>
      </c>
      <c r="K394" s="13" t="n">
        <f aca="false">J394-G394*I394</f>
        <v>270</v>
      </c>
    </row>
    <row r="395" customFormat="false" ht="15" hidden="false" customHeight="false" outlineLevel="0" collapsed="false">
      <c r="A395" s="10" t="s">
        <v>438</v>
      </c>
      <c r="B395" s="11" t="n">
        <v>45795</v>
      </c>
      <c r="C395" s="10" t="s">
        <v>55</v>
      </c>
      <c r="D395" s="10" t="s">
        <v>24</v>
      </c>
      <c r="E395" s="10" t="s">
        <v>33</v>
      </c>
      <c r="F395" s="10" t="s">
        <v>26</v>
      </c>
      <c r="G395" s="10" t="n">
        <v>2</v>
      </c>
      <c r="H395" s="12" t="n">
        <v>280</v>
      </c>
      <c r="I395" s="12" t="n">
        <v>190</v>
      </c>
      <c r="J395" s="13" t="n">
        <f aca="false">G395*H395</f>
        <v>560</v>
      </c>
      <c r="K395" s="13" t="n">
        <f aca="false">J395-G395*I395</f>
        <v>180</v>
      </c>
    </row>
    <row r="396" customFormat="false" ht="15" hidden="false" customHeight="false" outlineLevel="0" collapsed="false">
      <c r="A396" s="10" t="s">
        <v>439</v>
      </c>
      <c r="B396" s="11" t="n">
        <v>45796</v>
      </c>
      <c r="C396" s="10" t="s">
        <v>32</v>
      </c>
      <c r="D396" s="10" t="s">
        <v>29</v>
      </c>
      <c r="E396" s="10" t="s">
        <v>38</v>
      </c>
      <c r="F396" s="10" t="s">
        <v>34</v>
      </c>
      <c r="G396" s="10" t="n">
        <v>3</v>
      </c>
      <c r="H396" s="12" t="n">
        <v>520</v>
      </c>
      <c r="I396" s="12" t="n">
        <v>300</v>
      </c>
      <c r="J396" s="13" t="n">
        <f aca="false">G396*H396</f>
        <v>1560</v>
      </c>
      <c r="K396" s="13" t="n">
        <f aca="false">J396-G396*I396</f>
        <v>660</v>
      </c>
    </row>
    <row r="397" customFormat="false" ht="15" hidden="false" customHeight="false" outlineLevel="0" collapsed="false">
      <c r="A397" s="10" t="s">
        <v>440</v>
      </c>
      <c r="B397" s="11" t="n">
        <v>45798</v>
      </c>
      <c r="C397" s="10" t="s">
        <v>23</v>
      </c>
      <c r="D397" s="10" t="s">
        <v>24</v>
      </c>
      <c r="E397" s="10" t="s">
        <v>25</v>
      </c>
      <c r="F397" s="10" t="s">
        <v>34</v>
      </c>
      <c r="G397" s="10" t="n">
        <v>2</v>
      </c>
      <c r="H397" s="12" t="n">
        <v>260</v>
      </c>
      <c r="I397" s="12" t="n">
        <v>180</v>
      </c>
      <c r="J397" s="13" t="n">
        <f aca="false">G397*H397</f>
        <v>520</v>
      </c>
      <c r="K397" s="13" t="n">
        <f aca="false">J397-G397*I397</f>
        <v>160</v>
      </c>
    </row>
    <row r="398" customFormat="false" ht="15" hidden="false" customHeight="false" outlineLevel="0" collapsed="false">
      <c r="A398" s="10" t="s">
        <v>441</v>
      </c>
      <c r="B398" s="11" t="n">
        <v>45799</v>
      </c>
      <c r="C398" s="10" t="s">
        <v>41</v>
      </c>
      <c r="D398" s="10" t="s">
        <v>42</v>
      </c>
      <c r="E398" s="10" t="s">
        <v>33</v>
      </c>
      <c r="F398" s="10" t="s">
        <v>26</v>
      </c>
      <c r="G398" s="10" t="n">
        <v>4</v>
      </c>
      <c r="H398" s="12" t="n">
        <v>45</v>
      </c>
      <c r="I398" s="12" t="n">
        <v>20</v>
      </c>
      <c r="J398" s="13" t="n">
        <f aca="false">G398*H398</f>
        <v>180</v>
      </c>
      <c r="K398" s="13" t="n">
        <f aca="false">J398-G398*I398</f>
        <v>100</v>
      </c>
    </row>
    <row r="399" customFormat="false" ht="15" hidden="false" customHeight="false" outlineLevel="0" collapsed="false">
      <c r="A399" s="10" t="s">
        <v>442</v>
      </c>
      <c r="B399" s="11" t="n">
        <v>45800</v>
      </c>
      <c r="C399" s="10" t="s">
        <v>41</v>
      </c>
      <c r="D399" s="10" t="s">
        <v>42</v>
      </c>
      <c r="E399" s="10" t="s">
        <v>57</v>
      </c>
      <c r="F399" s="10" t="s">
        <v>26</v>
      </c>
      <c r="G399" s="10" t="n">
        <v>4</v>
      </c>
      <c r="H399" s="12" t="n">
        <v>45</v>
      </c>
      <c r="I399" s="12" t="n">
        <v>20</v>
      </c>
      <c r="J399" s="13" t="n">
        <f aca="false">G399*H399</f>
        <v>180</v>
      </c>
      <c r="K399" s="13" t="n">
        <f aca="false">J399-G399*I399</f>
        <v>100</v>
      </c>
    </row>
    <row r="400" customFormat="false" ht="15" hidden="false" customHeight="false" outlineLevel="0" collapsed="false">
      <c r="A400" s="10" t="s">
        <v>443</v>
      </c>
      <c r="B400" s="11" t="n">
        <v>45800</v>
      </c>
      <c r="C400" s="10" t="s">
        <v>67</v>
      </c>
      <c r="D400" s="10" t="s">
        <v>68</v>
      </c>
      <c r="E400" s="10" t="s">
        <v>33</v>
      </c>
      <c r="F400" s="10" t="s">
        <v>34</v>
      </c>
      <c r="G400" s="10" t="n">
        <v>2</v>
      </c>
      <c r="H400" s="12" t="n">
        <v>2600</v>
      </c>
      <c r="I400" s="12" t="n">
        <v>2100</v>
      </c>
      <c r="J400" s="13" t="n">
        <f aca="false">G400*H400</f>
        <v>5200</v>
      </c>
      <c r="K400" s="13" t="n">
        <f aca="false">J400-G400*I400</f>
        <v>1000</v>
      </c>
    </row>
    <row r="401" customFormat="false" ht="15" hidden="false" customHeight="false" outlineLevel="0" collapsed="false">
      <c r="A401" s="10" t="s">
        <v>444</v>
      </c>
      <c r="B401" s="11" t="n">
        <v>45801</v>
      </c>
      <c r="C401" s="10" t="s">
        <v>55</v>
      </c>
      <c r="D401" s="10" t="s">
        <v>24</v>
      </c>
      <c r="E401" s="10" t="s">
        <v>38</v>
      </c>
      <c r="F401" s="10" t="s">
        <v>26</v>
      </c>
      <c r="G401" s="10" t="n">
        <v>2</v>
      </c>
      <c r="H401" s="12" t="n">
        <v>280</v>
      </c>
      <c r="I401" s="12" t="n">
        <v>190</v>
      </c>
      <c r="J401" s="13" t="n">
        <f aca="false">G401*H401</f>
        <v>560</v>
      </c>
      <c r="K401" s="13" t="n">
        <f aca="false">J401-G401*I401</f>
        <v>180</v>
      </c>
    </row>
    <row r="402" customFormat="false" ht="15" hidden="false" customHeight="false" outlineLevel="0" collapsed="false">
      <c r="A402" s="10" t="s">
        <v>445</v>
      </c>
      <c r="B402" s="11" t="n">
        <v>45802</v>
      </c>
      <c r="C402" s="10" t="s">
        <v>84</v>
      </c>
      <c r="D402" s="10" t="s">
        <v>42</v>
      </c>
      <c r="E402" s="10" t="s">
        <v>57</v>
      </c>
      <c r="F402" s="10" t="s">
        <v>34</v>
      </c>
      <c r="G402" s="10" t="n">
        <v>4</v>
      </c>
      <c r="H402" s="12" t="n">
        <v>480</v>
      </c>
      <c r="I402" s="12" t="n">
        <v>220</v>
      </c>
      <c r="J402" s="13" t="n">
        <f aca="false">G402*H402</f>
        <v>1920</v>
      </c>
      <c r="K402" s="13" t="n">
        <f aca="false">J402-G402*I402</f>
        <v>1040</v>
      </c>
    </row>
    <row r="403" customFormat="false" ht="15" hidden="false" customHeight="false" outlineLevel="0" collapsed="false">
      <c r="A403" s="10" t="s">
        <v>446</v>
      </c>
      <c r="B403" s="11" t="n">
        <v>45803</v>
      </c>
      <c r="C403" s="10" t="s">
        <v>51</v>
      </c>
      <c r="D403" s="10" t="s">
        <v>42</v>
      </c>
      <c r="E403" s="10" t="s">
        <v>38</v>
      </c>
      <c r="F403" s="10" t="s">
        <v>34</v>
      </c>
      <c r="G403" s="10" t="n">
        <v>4</v>
      </c>
      <c r="H403" s="12" t="n">
        <v>130</v>
      </c>
      <c r="I403" s="12" t="n">
        <v>60</v>
      </c>
      <c r="J403" s="13" t="n">
        <f aca="false">G403*H403</f>
        <v>520</v>
      </c>
      <c r="K403" s="13" t="n">
        <f aca="false">J403-G403*I403</f>
        <v>280</v>
      </c>
    </row>
    <row r="404" customFormat="false" ht="15" hidden="false" customHeight="false" outlineLevel="0" collapsed="false">
      <c r="A404" s="10" t="s">
        <v>447</v>
      </c>
      <c r="B404" s="11" t="n">
        <v>45805</v>
      </c>
      <c r="C404" s="10" t="s">
        <v>41</v>
      </c>
      <c r="D404" s="10" t="s">
        <v>42</v>
      </c>
      <c r="E404" s="10" t="s">
        <v>30</v>
      </c>
      <c r="F404" s="10" t="s">
        <v>34</v>
      </c>
      <c r="G404" s="10" t="n">
        <v>2</v>
      </c>
      <c r="H404" s="12" t="n">
        <v>45</v>
      </c>
      <c r="I404" s="12" t="n">
        <v>20</v>
      </c>
      <c r="J404" s="13" t="n">
        <f aca="false">G404*H404</f>
        <v>90</v>
      </c>
      <c r="K404" s="13" t="n">
        <f aca="false">J404-G404*I404</f>
        <v>50</v>
      </c>
    </row>
    <row r="405" customFormat="false" ht="15" hidden="false" customHeight="false" outlineLevel="0" collapsed="false">
      <c r="A405" s="10" t="s">
        <v>448</v>
      </c>
      <c r="B405" s="11" t="n">
        <v>45806</v>
      </c>
      <c r="C405" s="10" t="s">
        <v>32</v>
      </c>
      <c r="D405" s="10" t="s">
        <v>29</v>
      </c>
      <c r="E405" s="10" t="s">
        <v>33</v>
      </c>
      <c r="F405" s="10" t="s">
        <v>26</v>
      </c>
      <c r="G405" s="10" t="n">
        <v>2</v>
      </c>
      <c r="H405" s="12" t="n">
        <v>520</v>
      </c>
      <c r="I405" s="12" t="n">
        <v>300</v>
      </c>
      <c r="J405" s="13" t="n">
        <f aca="false">G405*H405</f>
        <v>1040</v>
      </c>
      <c r="K405" s="13" t="n">
        <f aca="false">J405-G405*I405</f>
        <v>440</v>
      </c>
    </row>
    <row r="406" customFormat="false" ht="15" hidden="false" customHeight="false" outlineLevel="0" collapsed="false">
      <c r="A406" s="10" t="s">
        <v>449</v>
      </c>
      <c r="B406" s="11" t="n">
        <v>45807</v>
      </c>
      <c r="C406" s="10" t="s">
        <v>41</v>
      </c>
      <c r="D406" s="10" t="s">
        <v>42</v>
      </c>
      <c r="E406" s="10" t="s">
        <v>38</v>
      </c>
      <c r="F406" s="10" t="s">
        <v>34</v>
      </c>
      <c r="G406" s="10" t="n">
        <v>4</v>
      </c>
      <c r="H406" s="12" t="n">
        <v>45</v>
      </c>
      <c r="I406" s="12" t="n">
        <v>20</v>
      </c>
      <c r="J406" s="13" t="n">
        <f aca="false">G406*H406</f>
        <v>180</v>
      </c>
      <c r="K406" s="13" t="n">
        <f aca="false">J406-G406*I406</f>
        <v>100</v>
      </c>
    </row>
    <row r="407" customFormat="false" ht="15" hidden="false" customHeight="false" outlineLevel="0" collapsed="false">
      <c r="A407" s="10" t="s">
        <v>450</v>
      </c>
      <c r="B407" s="11" t="n">
        <v>45807</v>
      </c>
      <c r="C407" s="10" t="s">
        <v>23</v>
      </c>
      <c r="D407" s="10" t="s">
        <v>24</v>
      </c>
      <c r="E407" s="10" t="s">
        <v>33</v>
      </c>
      <c r="F407" s="10" t="s">
        <v>26</v>
      </c>
      <c r="G407" s="10" t="n">
        <v>2</v>
      </c>
      <c r="H407" s="12" t="n">
        <v>260</v>
      </c>
      <c r="I407" s="12" t="n">
        <v>180</v>
      </c>
      <c r="J407" s="13" t="n">
        <f aca="false">G407*H407</f>
        <v>520</v>
      </c>
      <c r="K407" s="13" t="n">
        <f aca="false">J407-G407*I407</f>
        <v>160</v>
      </c>
    </row>
    <row r="408" customFormat="false" ht="15" hidden="false" customHeight="false" outlineLevel="0" collapsed="false">
      <c r="A408" s="10" t="s">
        <v>451</v>
      </c>
      <c r="B408" s="11" t="n">
        <v>45808</v>
      </c>
      <c r="C408" s="10" t="s">
        <v>55</v>
      </c>
      <c r="D408" s="10" t="s">
        <v>24</v>
      </c>
      <c r="E408" s="10" t="s">
        <v>33</v>
      </c>
      <c r="F408" s="10" t="s">
        <v>26</v>
      </c>
      <c r="G408" s="10" t="n">
        <v>2</v>
      </c>
      <c r="H408" s="12" t="n">
        <v>280</v>
      </c>
      <c r="I408" s="12" t="n">
        <v>190</v>
      </c>
      <c r="J408" s="13" t="n">
        <f aca="false">G408*H408</f>
        <v>560</v>
      </c>
      <c r="K408" s="13" t="n">
        <f aca="false">J408-G408*I408</f>
        <v>180</v>
      </c>
    </row>
    <row r="409" customFormat="false" ht="15" hidden="false" customHeight="false" outlineLevel="0" collapsed="false">
      <c r="A409" s="10" t="s">
        <v>452</v>
      </c>
      <c r="B409" s="11" t="n">
        <v>45812</v>
      </c>
      <c r="C409" s="10" t="s">
        <v>41</v>
      </c>
      <c r="D409" s="10" t="s">
        <v>42</v>
      </c>
      <c r="E409" s="10" t="s">
        <v>25</v>
      </c>
      <c r="F409" s="10" t="s">
        <v>34</v>
      </c>
      <c r="G409" s="10" t="n">
        <v>3</v>
      </c>
      <c r="H409" s="12" t="n">
        <v>45</v>
      </c>
      <c r="I409" s="12" t="n">
        <v>20</v>
      </c>
      <c r="J409" s="13" t="n">
        <f aca="false">G409*H409</f>
        <v>135</v>
      </c>
      <c r="K409" s="13" t="n">
        <f aca="false">J409-G409*I409</f>
        <v>75</v>
      </c>
    </row>
    <row r="410" customFormat="false" ht="15" hidden="false" customHeight="false" outlineLevel="0" collapsed="false">
      <c r="A410" s="10" t="s">
        <v>453</v>
      </c>
      <c r="B410" s="11" t="n">
        <v>45812</v>
      </c>
      <c r="C410" s="10" t="s">
        <v>53</v>
      </c>
      <c r="D410" s="10" t="s">
        <v>24</v>
      </c>
      <c r="E410" s="10" t="s">
        <v>33</v>
      </c>
      <c r="F410" s="10" t="s">
        <v>26</v>
      </c>
      <c r="G410" s="10" t="n">
        <v>3</v>
      </c>
      <c r="H410" s="12" t="n">
        <v>300</v>
      </c>
      <c r="I410" s="12" t="n">
        <v>200</v>
      </c>
      <c r="J410" s="13" t="n">
        <f aca="false">G410*H410</f>
        <v>900</v>
      </c>
      <c r="K410" s="13" t="n">
        <f aca="false">J410-G410*I410</f>
        <v>300</v>
      </c>
    </row>
    <row r="411" customFormat="false" ht="15" hidden="false" customHeight="false" outlineLevel="0" collapsed="false">
      <c r="A411" s="10" t="s">
        <v>454</v>
      </c>
      <c r="B411" s="11" t="n">
        <v>45813</v>
      </c>
      <c r="C411" s="10" t="s">
        <v>41</v>
      </c>
      <c r="D411" s="10" t="s">
        <v>42</v>
      </c>
      <c r="E411" s="10" t="s">
        <v>38</v>
      </c>
      <c r="F411" s="10" t="s">
        <v>26</v>
      </c>
      <c r="G411" s="10" t="n">
        <v>2</v>
      </c>
      <c r="H411" s="12" t="n">
        <v>45</v>
      </c>
      <c r="I411" s="12" t="n">
        <v>20</v>
      </c>
      <c r="J411" s="13" t="n">
        <f aca="false">G411*H411</f>
        <v>90</v>
      </c>
      <c r="K411" s="13" t="n">
        <f aca="false">J411-G411*I411</f>
        <v>50</v>
      </c>
    </row>
    <row r="412" customFormat="false" ht="15" hidden="false" customHeight="false" outlineLevel="0" collapsed="false">
      <c r="A412" s="10" t="s">
        <v>455</v>
      </c>
      <c r="B412" s="11" t="n">
        <v>45822</v>
      </c>
      <c r="C412" s="10" t="s">
        <v>51</v>
      </c>
      <c r="D412" s="10" t="s">
        <v>42</v>
      </c>
      <c r="E412" s="10" t="s">
        <v>38</v>
      </c>
      <c r="F412" s="10" t="s">
        <v>34</v>
      </c>
      <c r="G412" s="10" t="n">
        <v>3</v>
      </c>
      <c r="H412" s="12" t="n">
        <v>130</v>
      </c>
      <c r="I412" s="12" t="n">
        <v>60</v>
      </c>
      <c r="J412" s="13" t="n">
        <f aca="false">G412*H412</f>
        <v>390</v>
      </c>
      <c r="K412" s="13" t="n">
        <f aca="false">J412-G412*I412</f>
        <v>210</v>
      </c>
    </row>
    <row r="413" customFormat="false" ht="15" hidden="false" customHeight="false" outlineLevel="0" collapsed="false">
      <c r="A413" s="10" t="s">
        <v>456</v>
      </c>
      <c r="B413" s="11" t="n">
        <v>45825</v>
      </c>
      <c r="C413" s="10" t="s">
        <v>36</v>
      </c>
      <c r="D413" s="10" t="s">
        <v>29</v>
      </c>
      <c r="E413" s="10" t="s">
        <v>57</v>
      </c>
      <c r="F413" s="10" t="s">
        <v>34</v>
      </c>
      <c r="G413" s="10" t="n">
        <v>1</v>
      </c>
      <c r="H413" s="12" t="n">
        <v>380</v>
      </c>
      <c r="I413" s="12" t="n">
        <v>260</v>
      </c>
      <c r="J413" s="13" t="n">
        <f aca="false">G413*H413</f>
        <v>380</v>
      </c>
      <c r="K413" s="13" t="n">
        <f aca="false">J413-G413*I413</f>
        <v>120</v>
      </c>
    </row>
    <row r="414" customFormat="false" ht="15" hidden="false" customHeight="false" outlineLevel="0" collapsed="false">
      <c r="A414" s="10" t="s">
        <v>457</v>
      </c>
      <c r="B414" s="11" t="n">
        <v>45825</v>
      </c>
      <c r="C414" s="10" t="s">
        <v>55</v>
      </c>
      <c r="D414" s="10" t="s">
        <v>24</v>
      </c>
      <c r="E414" s="10" t="s">
        <v>30</v>
      </c>
      <c r="F414" s="10" t="s">
        <v>34</v>
      </c>
      <c r="G414" s="10" t="n">
        <v>3</v>
      </c>
      <c r="H414" s="12" t="n">
        <v>280</v>
      </c>
      <c r="I414" s="12" t="n">
        <v>190</v>
      </c>
      <c r="J414" s="13" t="n">
        <f aca="false">G414*H414</f>
        <v>840</v>
      </c>
      <c r="K414" s="13" t="n">
        <f aca="false">J414-G414*I414</f>
        <v>270</v>
      </c>
    </row>
    <row r="415" customFormat="false" ht="15" hidden="false" customHeight="false" outlineLevel="0" collapsed="false">
      <c r="A415" s="10" t="s">
        <v>458</v>
      </c>
      <c r="B415" s="11" t="n">
        <v>45826</v>
      </c>
      <c r="C415" s="10" t="s">
        <v>32</v>
      </c>
      <c r="D415" s="10" t="s">
        <v>29</v>
      </c>
      <c r="E415" s="10" t="s">
        <v>30</v>
      </c>
      <c r="F415" s="10" t="s">
        <v>26</v>
      </c>
      <c r="G415" s="10" t="n">
        <v>3</v>
      </c>
      <c r="H415" s="12" t="n">
        <v>520</v>
      </c>
      <c r="I415" s="12" t="n">
        <v>300</v>
      </c>
      <c r="J415" s="13" t="n">
        <f aca="false">G415*H415</f>
        <v>1560</v>
      </c>
      <c r="K415" s="13" t="n">
        <f aca="false">J415-G415*I415</f>
        <v>660</v>
      </c>
    </row>
    <row r="416" customFormat="false" ht="15" hidden="false" customHeight="false" outlineLevel="0" collapsed="false">
      <c r="A416" s="10" t="s">
        <v>459</v>
      </c>
      <c r="B416" s="11" t="n">
        <v>45827</v>
      </c>
      <c r="C416" s="10" t="s">
        <v>41</v>
      </c>
      <c r="D416" s="10" t="s">
        <v>42</v>
      </c>
      <c r="E416" s="10" t="s">
        <v>38</v>
      </c>
      <c r="F416" s="10" t="s">
        <v>34</v>
      </c>
      <c r="G416" s="10" t="n">
        <v>1</v>
      </c>
      <c r="H416" s="12" t="n">
        <v>45</v>
      </c>
      <c r="I416" s="12" t="n">
        <v>20</v>
      </c>
      <c r="J416" s="13" t="n">
        <f aca="false">G416*H416</f>
        <v>45</v>
      </c>
      <c r="K416" s="13" t="n">
        <f aca="false">J416-G416*I416</f>
        <v>25</v>
      </c>
    </row>
    <row r="417" customFormat="false" ht="15" hidden="false" customHeight="false" outlineLevel="0" collapsed="false">
      <c r="A417" s="10" t="s">
        <v>460</v>
      </c>
      <c r="B417" s="11" t="n">
        <v>45828</v>
      </c>
      <c r="C417" s="10" t="s">
        <v>55</v>
      </c>
      <c r="D417" s="10" t="s">
        <v>24</v>
      </c>
      <c r="E417" s="10" t="s">
        <v>38</v>
      </c>
      <c r="F417" s="10" t="s">
        <v>34</v>
      </c>
      <c r="G417" s="10" t="n">
        <v>1</v>
      </c>
      <c r="H417" s="12" t="n">
        <v>280</v>
      </c>
      <c r="I417" s="12" t="n">
        <v>190</v>
      </c>
      <c r="J417" s="13" t="n">
        <f aca="false">G417*H417</f>
        <v>280</v>
      </c>
      <c r="K417" s="13" t="n">
        <f aca="false">J417-G417*I417</f>
        <v>90</v>
      </c>
    </row>
    <row r="418" customFormat="false" ht="15" hidden="false" customHeight="false" outlineLevel="0" collapsed="false">
      <c r="A418" s="10" t="s">
        <v>461</v>
      </c>
      <c r="B418" s="11" t="n">
        <v>45828</v>
      </c>
      <c r="C418" s="10" t="s">
        <v>23</v>
      </c>
      <c r="D418" s="10" t="s">
        <v>24</v>
      </c>
      <c r="E418" s="10" t="s">
        <v>38</v>
      </c>
      <c r="F418" s="10" t="s">
        <v>26</v>
      </c>
      <c r="G418" s="10" t="n">
        <v>2</v>
      </c>
      <c r="H418" s="12" t="n">
        <v>260</v>
      </c>
      <c r="I418" s="12" t="n">
        <v>180</v>
      </c>
      <c r="J418" s="13" t="n">
        <f aca="false">G418*H418</f>
        <v>520</v>
      </c>
      <c r="K418" s="13" t="n">
        <f aca="false">J418-G418*I418</f>
        <v>160</v>
      </c>
    </row>
    <row r="419" customFormat="false" ht="15" hidden="false" customHeight="false" outlineLevel="0" collapsed="false">
      <c r="A419" s="10" t="s">
        <v>462</v>
      </c>
      <c r="B419" s="11" t="n">
        <v>45831</v>
      </c>
      <c r="C419" s="10" t="s">
        <v>32</v>
      </c>
      <c r="D419" s="10" t="s">
        <v>29</v>
      </c>
      <c r="E419" s="10" t="s">
        <v>38</v>
      </c>
      <c r="F419" s="10" t="s">
        <v>26</v>
      </c>
      <c r="G419" s="10" t="n">
        <v>3</v>
      </c>
      <c r="H419" s="12" t="n">
        <v>520</v>
      </c>
      <c r="I419" s="12" t="n">
        <v>300</v>
      </c>
      <c r="J419" s="13" t="n">
        <f aca="false">G419*H419</f>
        <v>1560</v>
      </c>
      <c r="K419" s="13" t="n">
        <f aca="false">J419-G419*I419</f>
        <v>660</v>
      </c>
    </row>
    <row r="420" customFormat="false" ht="15" hidden="false" customHeight="false" outlineLevel="0" collapsed="false">
      <c r="A420" s="10" t="s">
        <v>463</v>
      </c>
      <c r="B420" s="11" t="n">
        <v>45831</v>
      </c>
      <c r="C420" s="10" t="s">
        <v>41</v>
      </c>
      <c r="D420" s="10" t="s">
        <v>42</v>
      </c>
      <c r="E420" s="10" t="s">
        <v>30</v>
      </c>
      <c r="F420" s="10" t="s">
        <v>26</v>
      </c>
      <c r="G420" s="10" t="n">
        <v>2</v>
      </c>
      <c r="H420" s="12" t="n">
        <v>45</v>
      </c>
      <c r="I420" s="12" t="n">
        <v>20</v>
      </c>
      <c r="J420" s="13" t="n">
        <f aca="false">G420*H420</f>
        <v>90</v>
      </c>
      <c r="K420" s="13" t="n">
        <f aca="false">J420-G420*I420</f>
        <v>50</v>
      </c>
    </row>
    <row r="421" customFormat="false" ht="15" hidden="false" customHeight="false" outlineLevel="0" collapsed="false">
      <c r="A421" s="10" t="s">
        <v>464</v>
      </c>
      <c r="B421" s="11" t="n">
        <v>45832</v>
      </c>
      <c r="C421" s="10" t="s">
        <v>28</v>
      </c>
      <c r="D421" s="10" t="s">
        <v>29</v>
      </c>
      <c r="E421" s="10" t="s">
        <v>33</v>
      </c>
      <c r="F421" s="10" t="s">
        <v>26</v>
      </c>
      <c r="G421" s="10" t="n">
        <v>2</v>
      </c>
      <c r="H421" s="12" t="n">
        <v>450</v>
      </c>
      <c r="I421" s="12" t="n">
        <v>280</v>
      </c>
      <c r="J421" s="13" t="n">
        <f aca="false">G421*H421</f>
        <v>900</v>
      </c>
      <c r="K421" s="13" t="n">
        <f aca="false">J421-G421*I421</f>
        <v>340</v>
      </c>
    </row>
    <row r="422" customFormat="false" ht="15" hidden="false" customHeight="false" outlineLevel="0" collapsed="false">
      <c r="A422" s="10" t="s">
        <v>465</v>
      </c>
      <c r="B422" s="11" t="n">
        <v>45833</v>
      </c>
      <c r="C422" s="10" t="s">
        <v>101</v>
      </c>
      <c r="D422" s="10" t="s">
        <v>68</v>
      </c>
      <c r="E422" s="10" t="s">
        <v>38</v>
      </c>
      <c r="F422" s="10" t="s">
        <v>26</v>
      </c>
      <c r="G422" s="10" t="n">
        <v>2</v>
      </c>
      <c r="H422" s="12" t="n">
        <v>4200</v>
      </c>
      <c r="I422" s="12" t="n">
        <v>3300</v>
      </c>
      <c r="J422" s="13" t="n">
        <f aca="false">G422*H422</f>
        <v>8400</v>
      </c>
      <c r="K422" s="13" t="n">
        <f aca="false">J422-G422*I422</f>
        <v>1800</v>
      </c>
    </row>
    <row r="423" customFormat="false" ht="15" hidden="false" customHeight="false" outlineLevel="0" collapsed="false">
      <c r="A423" s="10" t="s">
        <v>466</v>
      </c>
      <c r="B423" s="11" t="n">
        <v>45834</v>
      </c>
      <c r="C423" s="10" t="s">
        <v>28</v>
      </c>
      <c r="D423" s="10" t="s">
        <v>29</v>
      </c>
      <c r="E423" s="10" t="s">
        <v>33</v>
      </c>
      <c r="F423" s="10" t="s">
        <v>34</v>
      </c>
      <c r="G423" s="10" t="n">
        <v>2</v>
      </c>
      <c r="H423" s="12" t="n">
        <v>450</v>
      </c>
      <c r="I423" s="12" t="n">
        <v>280</v>
      </c>
      <c r="J423" s="13" t="n">
        <f aca="false">G423*H423</f>
        <v>900</v>
      </c>
      <c r="K423" s="13" t="n">
        <f aca="false">J423-G423*I423</f>
        <v>340</v>
      </c>
    </row>
    <row r="424" customFormat="false" ht="15" hidden="false" customHeight="false" outlineLevel="0" collapsed="false">
      <c r="A424" s="10" t="s">
        <v>467</v>
      </c>
      <c r="B424" s="11" t="n">
        <v>45835</v>
      </c>
      <c r="C424" s="10" t="s">
        <v>101</v>
      </c>
      <c r="D424" s="10" t="s">
        <v>68</v>
      </c>
      <c r="E424" s="10" t="s">
        <v>25</v>
      </c>
      <c r="F424" s="10" t="s">
        <v>26</v>
      </c>
      <c r="G424" s="10" t="n">
        <v>2</v>
      </c>
      <c r="H424" s="12" t="n">
        <v>4200</v>
      </c>
      <c r="I424" s="12" t="n">
        <v>3300</v>
      </c>
      <c r="J424" s="13" t="n">
        <f aca="false">G424*H424</f>
        <v>8400</v>
      </c>
      <c r="K424" s="13" t="n">
        <f aca="false">J424-G424*I424</f>
        <v>1800</v>
      </c>
    </row>
    <row r="425" customFormat="false" ht="15" hidden="false" customHeight="false" outlineLevel="0" collapsed="false">
      <c r="A425" s="10" t="s">
        <v>468</v>
      </c>
      <c r="B425" s="11" t="n">
        <v>45837</v>
      </c>
      <c r="C425" s="10" t="s">
        <v>53</v>
      </c>
      <c r="D425" s="10" t="s">
        <v>24</v>
      </c>
      <c r="E425" s="10" t="s">
        <v>57</v>
      </c>
      <c r="F425" s="10" t="s">
        <v>26</v>
      </c>
      <c r="G425" s="10" t="n">
        <v>1</v>
      </c>
      <c r="H425" s="12" t="n">
        <v>300</v>
      </c>
      <c r="I425" s="12" t="n">
        <v>200</v>
      </c>
      <c r="J425" s="13" t="n">
        <f aca="false">G425*H425</f>
        <v>300</v>
      </c>
      <c r="K425" s="13" t="n">
        <f aca="false">J425-G425*I425</f>
        <v>100</v>
      </c>
    </row>
    <row r="426" customFormat="false" ht="15" hidden="false" customHeight="false" outlineLevel="0" collapsed="false">
      <c r="A426" s="10" t="s">
        <v>469</v>
      </c>
      <c r="B426" s="11" t="n">
        <v>45840</v>
      </c>
      <c r="C426" s="10" t="s">
        <v>28</v>
      </c>
      <c r="D426" s="10" t="s">
        <v>29</v>
      </c>
      <c r="E426" s="10" t="s">
        <v>38</v>
      </c>
      <c r="F426" s="10" t="s">
        <v>34</v>
      </c>
      <c r="G426" s="10" t="n">
        <v>2</v>
      </c>
      <c r="H426" s="12" t="n">
        <v>450</v>
      </c>
      <c r="I426" s="12" t="n">
        <v>280</v>
      </c>
      <c r="J426" s="13" t="n">
        <f aca="false">G426*H426</f>
        <v>900</v>
      </c>
      <c r="K426" s="13" t="n">
        <f aca="false">J426-G426*I426</f>
        <v>340</v>
      </c>
    </row>
    <row r="427" customFormat="false" ht="15" hidden="false" customHeight="false" outlineLevel="0" collapsed="false">
      <c r="A427" s="10" t="s">
        <v>470</v>
      </c>
      <c r="B427" s="11" t="n">
        <v>45841</v>
      </c>
      <c r="C427" s="10" t="s">
        <v>32</v>
      </c>
      <c r="D427" s="10" t="s">
        <v>29</v>
      </c>
      <c r="E427" s="10" t="s">
        <v>30</v>
      </c>
      <c r="F427" s="10" t="s">
        <v>26</v>
      </c>
      <c r="G427" s="10" t="n">
        <v>2</v>
      </c>
      <c r="H427" s="12" t="n">
        <v>520</v>
      </c>
      <c r="I427" s="12" t="n">
        <v>300</v>
      </c>
      <c r="J427" s="13" t="n">
        <f aca="false">G427*H427</f>
        <v>1040</v>
      </c>
      <c r="K427" s="13" t="n">
        <f aca="false">J427-G427*I427</f>
        <v>440</v>
      </c>
    </row>
    <row r="428" customFormat="false" ht="15" hidden="false" customHeight="false" outlineLevel="0" collapsed="false">
      <c r="A428" s="10" t="s">
        <v>471</v>
      </c>
      <c r="B428" s="11" t="n">
        <v>45842</v>
      </c>
      <c r="C428" s="10" t="s">
        <v>55</v>
      </c>
      <c r="D428" s="10" t="s">
        <v>24</v>
      </c>
      <c r="E428" s="10" t="s">
        <v>57</v>
      </c>
      <c r="F428" s="10" t="s">
        <v>26</v>
      </c>
      <c r="G428" s="10" t="n">
        <v>3</v>
      </c>
      <c r="H428" s="12" t="n">
        <v>280</v>
      </c>
      <c r="I428" s="12" t="n">
        <v>190</v>
      </c>
      <c r="J428" s="13" t="n">
        <f aca="false">G428*H428</f>
        <v>840</v>
      </c>
      <c r="K428" s="13" t="n">
        <f aca="false">J428-G428*I428</f>
        <v>270</v>
      </c>
    </row>
    <row r="429" customFormat="false" ht="15" hidden="false" customHeight="false" outlineLevel="0" collapsed="false">
      <c r="A429" s="10" t="s">
        <v>472</v>
      </c>
      <c r="B429" s="11" t="n">
        <v>45843</v>
      </c>
      <c r="C429" s="10" t="s">
        <v>55</v>
      </c>
      <c r="D429" s="10" t="s">
        <v>24</v>
      </c>
      <c r="E429" s="10" t="s">
        <v>33</v>
      </c>
      <c r="F429" s="10" t="s">
        <v>26</v>
      </c>
      <c r="G429" s="10" t="n">
        <v>2</v>
      </c>
      <c r="H429" s="12" t="n">
        <v>280</v>
      </c>
      <c r="I429" s="12" t="n">
        <v>190</v>
      </c>
      <c r="J429" s="13" t="n">
        <f aca="false">G429*H429</f>
        <v>560</v>
      </c>
      <c r="K429" s="13" t="n">
        <f aca="false">J429-G429*I429</f>
        <v>180</v>
      </c>
    </row>
    <row r="430" customFormat="false" ht="15" hidden="false" customHeight="false" outlineLevel="0" collapsed="false">
      <c r="A430" s="10" t="s">
        <v>473</v>
      </c>
      <c r="B430" s="11" t="n">
        <v>45843</v>
      </c>
      <c r="C430" s="10" t="s">
        <v>49</v>
      </c>
      <c r="D430" s="10" t="s">
        <v>24</v>
      </c>
      <c r="E430" s="10" t="s">
        <v>38</v>
      </c>
      <c r="F430" s="10" t="s">
        <v>26</v>
      </c>
      <c r="G430" s="10" t="n">
        <v>3</v>
      </c>
      <c r="H430" s="12" t="n">
        <v>250</v>
      </c>
      <c r="I430" s="12" t="n">
        <v>170</v>
      </c>
      <c r="J430" s="13" t="n">
        <f aca="false">G430*H430</f>
        <v>750</v>
      </c>
      <c r="K430" s="13" t="n">
        <f aca="false">J430-G430*I430</f>
        <v>240</v>
      </c>
    </row>
    <row r="431" customFormat="false" ht="15" hidden="false" customHeight="false" outlineLevel="0" collapsed="false">
      <c r="A431" s="10" t="s">
        <v>474</v>
      </c>
      <c r="B431" s="11" t="n">
        <v>45844</v>
      </c>
      <c r="C431" s="10" t="s">
        <v>53</v>
      </c>
      <c r="D431" s="10" t="s">
        <v>24</v>
      </c>
      <c r="E431" s="10" t="s">
        <v>25</v>
      </c>
      <c r="F431" s="10" t="s">
        <v>34</v>
      </c>
      <c r="G431" s="10" t="n">
        <v>1</v>
      </c>
      <c r="H431" s="12" t="n">
        <v>300</v>
      </c>
      <c r="I431" s="12" t="n">
        <v>200</v>
      </c>
      <c r="J431" s="13" t="n">
        <f aca="false">G431*H431</f>
        <v>300</v>
      </c>
      <c r="K431" s="13" t="n">
        <f aca="false">J431-G431*I431</f>
        <v>100</v>
      </c>
    </row>
    <row r="432" customFormat="false" ht="15" hidden="false" customHeight="false" outlineLevel="0" collapsed="false">
      <c r="A432" s="10" t="s">
        <v>475</v>
      </c>
      <c r="B432" s="11" t="n">
        <v>45844</v>
      </c>
      <c r="C432" s="10" t="s">
        <v>53</v>
      </c>
      <c r="D432" s="10" t="s">
        <v>24</v>
      </c>
      <c r="E432" s="10" t="s">
        <v>38</v>
      </c>
      <c r="F432" s="10" t="s">
        <v>26</v>
      </c>
      <c r="G432" s="10" t="n">
        <v>2</v>
      </c>
      <c r="H432" s="12" t="n">
        <v>300</v>
      </c>
      <c r="I432" s="12" t="n">
        <v>200</v>
      </c>
      <c r="J432" s="13" t="n">
        <f aca="false">G432*H432</f>
        <v>600</v>
      </c>
      <c r="K432" s="13" t="n">
        <f aca="false">J432-G432*I432</f>
        <v>200</v>
      </c>
    </row>
    <row r="433" customFormat="false" ht="15" hidden="false" customHeight="false" outlineLevel="0" collapsed="false">
      <c r="A433" s="10" t="s">
        <v>476</v>
      </c>
      <c r="B433" s="11" t="n">
        <v>45844</v>
      </c>
      <c r="C433" s="10" t="s">
        <v>55</v>
      </c>
      <c r="D433" s="10" t="s">
        <v>24</v>
      </c>
      <c r="E433" s="10" t="s">
        <v>38</v>
      </c>
      <c r="F433" s="10" t="s">
        <v>26</v>
      </c>
      <c r="G433" s="10" t="n">
        <v>3</v>
      </c>
      <c r="H433" s="12" t="n">
        <v>280</v>
      </c>
      <c r="I433" s="12" t="n">
        <v>190</v>
      </c>
      <c r="J433" s="13" t="n">
        <f aca="false">G433*H433</f>
        <v>840</v>
      </c>
      <c r="K433" s="13" t="n">
        <f aca="false">J433-G433*I433</f>
        <v>270</v>
      </c>
    </row>
    <row r="434" customFormat="false" ht="15" hidden="false" customHeight="false" outlineLevel="0" collapsed="false">
      <c r="A434" s="10" t="s">
        <v>477</v>
      </c>
      <c r="B434" s="11" t="n">
        <v>45846</v>
      </c>
      <c r="C434" s="10" t="s">
        <v>32</v>
      </c>
      <c r="D434" s="10" t="s">
        <v>29</v>
      </c>
      <c r="E434" s="10" t="s">
        <v>30</v>
      </c>
      <c r="F434" s="10" t="s">
        <v>26</v>
      </c>
      <c r="G434" s="10" t="n">
        <v>3</v>
      </c>
      <c r="H434" s="12" t="n">
        <v>520</v>
      </c>
      <c r="I434" s="12" t="n">
        <v>300</v>
      </c>
      <c r="J434" s="13" t="n">
        <f aca="false">G434*H434</f>
        <v>1560</v>
      </c>
      <c r="K434" s="13" t="n">
        <f aca="false">J434-G434*I434</f>
        <v>660</v>
      </c>
    </row>
    <row r="435" customFormat="false" ht="15" hidden="false" customHeight="false" outlineLevel="0" collapsed="false">
      <c r="A435" s="10" t="s">
        <v>478</v>
      </c>
      <c r="B435" s="11" t="n">
        <v>45846</v>
      </c>
      <c r="C435" s="10" t="s">
        <v>28</v>
      </c>
      <c r="D435" s="10" t="s">
        <v>29</v>
      </c>
      <c r="E435" s="10" t="s">
        <v>30</v>
      </c>
      <c r="F435" s="10" t="s">
        <v>26</v>
      </c>
      <c r="G435" s="10" t="n">
        <v>4</v>
      </c>
      <c r="H435" s="12" t="n">
        <v>450</v>
      </c>
      <c r="I435" s="12" t="n">
        <v>280</v>
      </c>
      <c r="J435" s="13" t="n">
        <f aca="false">G435*H435</f>
        <v>1800</v>
      </c>
      <c r="K435" s="13" t="n">
        <f aca="false">J435-G435*I435</f>
        <v>680</v>
      </c>
    </row>
    <row r="436" customFormat="false" ht="15" hidden="false" customHeight="false" outlineLevel="0" collapsed="false">
      <c r="A436" s="10" t="s">
        <v>479</v>
      </c>
      <c r="B436" s="11" t="n">
        <v>45847</v>
      </c>
      <c r="C436" s="10" t="s">
        <v>53</v>
      </c>
      <c r="D436" s="10" t="s">
        <v>24</v>
      </c>
      <c r="E436" s="10" t="s">
        <v>38</v>
      </c>
      <c r="F436" s="10" t="s">
        <v>34</v>
      </c>
      <c r="G436" s="10" t="n">
        <v>1</v>
      </c>
      <c r="H436" s="12" t="n">
        <v>300</v>
      </c>
      <c r="I436" s="12" t="n">
        <v>200</v>
      </c>
      <c r="J436" s="13" t="n">
        <f aca="false">G436*H436</f>
        <v>300</v>
      </c>
      <c r="K436" s="13" t="n">
        <f aca="false">J436-G436*I436</f>
        <v>100</v>
      </c>
    </row>
    <row r="437" customFormat="false" ht="15" hidden="false" customHeight="false" outlineLevel="0" collapsed="false">
      <c r="A437" s="10" t="s">
        <v>480</v>
      </c>
      <c r="B437" s="11" t="n">
        <v>45848</v>
      </c>
      <c r="C437" s="10" t="s">
        <v>49</v>
      </c>
      <c r="D437" s="10" t="s">
        <v>24</v>
      </c>
      <c r="E437" s="10" t="s">
        <v>33</v>
      </c>
      <c r="F437" s="10" t="s">
        <v>34</v>
      </c>
      <c r="G437" s="10" t="n">
        <v>3</v>
      </c>
      <c r="H437" s="12" t="n">
        <v>250</v>
      </c>
      <c r="I437" s="12" t="n">
        <v>170</v>
      </c>
      <c r="J437" s="13" t="n">
        <f aca="false">G437*H437</f>
        <v>750</v>
      </c>
      <c r="K437" s="13" t="n">
        <f aca="false">J437-G437*I437</f>
        <v>240</v>
      </c>
    </row>
    <row r="438" customFormat="false" ht="15" hidden="false" customHeight="false" outlineLevel="0" collapsed="false">
      <c r="A438" s="10" t="s">
        <v>481</v>
      </c>
      <c r="B438" s="11" t="n">
        <v>45849</v>
      </c>
      <c r="C438" s="10" t="s">
        <v>41</v>
      </c>
      <c r="D438" s="10" t="s">
        <v>42</v>
      </c>
      <c r="E438" s="10" t="s">
        <v>38</v>
      </c>
      <c r="F438" s="10" t="s">
        <v>34</v>
      </c>
      <c r="G438" s="10" t="n">
        <v>4</v>
      </c>
      <c r="H438" s="12" t="n">
        <v>45</v>
      </c>
      <c r="I438" s="12" t="n">
        <v>20</v>
      </c>
      <c r="J438" s="13" t="n">
        <f aca="false">G438*H438</f>
        <v>180</v>
      </c>
      <c r="K438" s="13" t="n">
        <f aca="false">J438-G438*I438</f>
        <v>100</v>
      </c>
    </row>
    <row r="439" customFormat="false" ht="15" hidden="false" customHeight="false" outlineLevel="0" collapsed="false">
      <c r="A439" s="10" t="s">
        <v>482</v>
      </c>
      <c r="B439" s="11" t="n">
        <v>45852</v>
      </c>
      <c r="C439" s="10" t="s">
        <v>84</v>
      </c>
      <c r="D439" s="10" t="s">
        <v>42</v>
      </c>
      <c r="E439" s="10" t="s">
        <v>38</v>
      </c>
      <c r="F439" s="10" t="s">
        <v>26</v>
      </c>
      <c r="G439" s="10" t="n">
        <v>1</v>
      </c>
      <c r="H439" s="12" t="n">
        <v>480</v>
      </c>
      <c r="I439" s="12" t="n">
        <v>220</v>
      </c>
      <c r="J439" s="13" t="n">
        <f aca="false">G439*H439</f>
        <v>480</v>
      </c>
      <c r="K439" s="13" t="n">
        <f aca="false">J439-G439*I439</f>
        <v>260</v>
      </c>
    </row>
    <row r="440" customFormat="false" ht="15" hidden="false" customHeight="false" outlineLevel="0" collapsed="false">
      <c r="A440" s="10" t="s">
        <v>483</v>
      </c>
      <c r="B440" s="11" t="n">
        <v>45852</v>
      </c>
      <c r="C440" s="10" t="s">
        <v>23</v>
      </c>
      <c r="D440" s="10" t="s">
        <v>24</v>
      </c>
      <c r="E440" s="10" t="s">
        <v>38</v>
      </c>
      <c r="F440" s="10" t="s">
        <v>26</v>
      </c>
      <c r="G440" s="10" t="n">
        <v>4</v>
      </c>
      <c r="H440" s="12" t="n">
        <v>260</v>
      </c>
      <c r="I440" s="12" t="n">
        <v>180</v>
      </c>
      <c r="J440" s="13" t="n">
        <f aca="false">G440*H440</f>
        <v>1040</v>
      </c>
      <c r="K440" s="13" t="n">
        <f aca="false">J440-G440*I440</f>
        <v>320</v>
      </c>
    </row>
    <row r="441" customFormat="false" ht="15" hidden="false" customHeight="false" outlineLevel="0" collapsed="false">
      <c r="A441" s="10" t="s">
        <v>484</v>
      </c>
      <c r="B441" s="11" t="n">
        <v>45853</v>
      </c>
      <c r="C441" s="10" t="s">
        <v>41</v>
      </c>
      <c r="D441" s="10" t="s">
        <v>42</v>
      </c>
      <c r="E441" s="10" t="s">
        <v>38</v>
      </c>
      <c r="F441" s="10" t="s">
        <v>26</v>
      </c>
      <c r="G441" s="10" t="n">
        <v>2</v>
      </c>
      <c r="H441" s="12" t="n">
        <v>45</v>
      </c>
      <c r="I441" s="12" t="n">
        <v>20</v>
      </c>
      <c r="J441" s="13" t="n">
        <f aca="false">G441*H441</f>
        <v>90</v>
      </c>
      <c r="K441" s="13" t="n">
        <f aca="false">J441-G441*I441</f>
        <v>50</v>
      </c>
    </row>
    <row r="442" customFormat="false" ht="15" hidden="false" customHeight="false" outlineLevel="0" collapsed="false">
      <c r="A442" s="10" t="s">
        <v>485</v>
      </c>
      <c r="B442" s="11" t="n">
        <v>45854</v>
      </c>
      <c r="C442" s="10" t="s">
        <v>51</v>
      </c>
      <c r="D442" s="10" t="s">
        <v>42</v>
      </c>
      <c r="E442" s="10" t="s">
        <v>38</v>
      </c>
      <c r="F442" s="10" t="s">
        <v>26</v>
      </c>
      <c r="G442" s="10" t="n">
        <v>3</v>
      </c>
      <c r="H442" s="12" t="n">
        <v>130</v>
      </c>
      <c r="I442" s="12" t="n">
        <v>60</v>
      </c>
      <c r="J442" s="13" t="n">
        <f aca="false">G442*H442</f>
        <v>390</v>
      </c>
      <c r="K442" s="13" t="n">
        <f aca="false">J442-G442*I442</f>
        <v>210</v>
      </c>
    </row>
    <row r="443" customFormat="false" ht="15" hidden="false" customHeight="false" outlineLevel="0" collapsed="false">
      <c r="A443" s="10" t="s">
        <v>486</v>
      </c>
      <c r="B443" s="11" t="n">
        <v>45855</v>
      </c>
      <c r="C443" s="10" t="s">
        <v>36</v>
      </c>
      <c r="D443" s="10" t="s">
        <v>29</v>
      </c>
      <c r="E443" s="10" t="s">
        <v>38</v>
      </c>
      <c r="F443" s="10" t="s">
        <v>26</v>
      </c>
      <c r="G443" s="10" t="n">
        <v>3</v>
      </c>
      <c r="H443" s="12" t="n">
        <v>380</v>
      </c>
      <c r="I443" s="12" t="n">
        <v>260</v>
      </c>
      <c r="J443" s="13" t="n">
        <f aca="false">G443*H443</f>
        <v>1140</v>
      </c>
      <c r="K443" s="13" t="n">
        <f aca="false">J443-G443*I443</f>
        <v>360</v>
      </c>
    </row>
    <row r="444" customFormat="false" ht="15" hidden="false" customHeight="false" outlineLevel="0" collapsed="false">
      <c r="A444" s="10" t="s">
        <v>487</v>
      </c>
      <c r="B444" s="11" t="n">
        <v>45858</v>
      </c>
      <c r="C444" s="10" t="s">
        <v>41</v>
      </c>
      <c r="D444" s="10" t="s">
        <v>42</v>
      </c>
      <c r="E444" s="10" t="s">
        <v>38</v>
      </c>
      <c r="F444" s="10" t="s">
        <v>26</v>
      </c>
      <c r="G444" s="10" t="n">
        <v>3</v>
      </c>
      <c r="H444" s="12" t="n">
        <v>45</v>
      </c>
      <c r="I444" s="12" t="n">
        <v>20</v>
      </c>
      <c r="J444" s="13" t="n">
        <f aca="false">G444*H444</f>
        <v>135</v>
      </c>
      <c r="K444" s="13" t="n">
        <f aca="false">J444-G444*I444</f>
        <v>75</v>
      </c>
    </row>
    <row r="445" customFormat="false" ht="15" hidden="false" customHeight="false" outlineLevel="0" collapsed="false">
      <c r="A445" s="10" t="s">
        <v>488</v>
      </c>
      <c r="B445" s="11" t="n">
        <v>45859</v>
      </c>
      <c r="C445" s="10" t="s">
        <v>55</v>
      </c>
      <c r="D445" s="10" t="s">
        <v>24</v>
      </c>
      <c r="E445" s="10" t="s">
        <v>38</v>
      </c>
      <c r="F445" s="10" t="s">
        <v>26</v>
      </c>
      <c r="G445" s="10" t="n">
        <v>1</v>
      </c>
      <c r="H445" s="12" t="n">
        <v>280</v>
      </c>
      <c r="I445" s="12" t="n">
        <v>190</v>
      </c>
      <c r="J445" s="13" t="n">
        <f aca="false">G445*H445</f>
        <v>280</v>
      </c>
      <c r="K445" s="13" t="n">
        <f aca="false">J445-G445*I445</f>
        <v>90</v>
      </c>
    </row>
    <row r="446" customFormat="false" ht="15" hidden="false" customHeight="false" outlineLevel="0" collapsed="false">
      <c r="A446" s="10" t="s">
        <v>489</v>
      </c>
      <c r="B446" s="11" t="n">
        <v>45867</v>
      </c>
      <c r="C446" s="10" t="s">
        <v>51</v>
      </c>
      <c r="D446" s="10" t="s">
        <v>42</v>
      </c>
      <c r="E446" s="10" t="s">
        <v>38</v>
      </c>
      <c r="F446" s="10" t="s">
        <v>34</v>
      </c>
      <c r="G446" s="10" t="n">
        <v>4</v>
      </c>
      <c r="H446" s="12" t="n">
        <v>130</v>
      </c>
      <c r="I446" s="12" t="n">
        <v>60</v>
      </c>
      <c r="J446" s="13" t="n">
        <f aca="false">G446*H446</f>
        <v>520</v>
      </c>
      <c r="K446" s="13" t="n">
        <f aca="false">J446-G446*I446</f>
        <v>280</v>
      </c>
    </row>
    <row r="447" customFormat="false" ht="15" hidden="false" customHeight="false" outlineLevel="0" collapsed="false">
      <c r="A447" s="10" t="s">
        <v>490</v>
      </c>
      <c r="B447" s="11" t="n">
        <v>45867</v>
      </c>
      <c r="C447" s="10" t="s">
        <v>55</v>
      </c>
      <c r="D447" s="10" t="s">
        <v>24</v>
      </c>
      <c r="E447" s="10" t="s">
        <v>33</v>
      </c>
      <c r="F447" s="10" t="s">
        <v>26</v>
      </c>
      <c r="G447" s="10" t="n">
        <v>3</v>
      </c>
      <c r="H447" s="12" t="n">
        <v>280</v>
      </c>
      <c r="I447" s="12" t="n">
        <v>190</v>
      </c>
      <c r="J447" s="13" t="n">
        <f aca="false">G447*H447</f>
        <v>840</v>
      </c>
      <c r="K447" s="13" t="n">
        <f aca="false">J447-G447*I447</f>
        <v>270</v>
      </c>
    </row>
    <row r="448" customFormat="false" ht="15" hidden="false" customHeight="false" outlineLevel="0" collapsed="false">
      <c r="A448" s="10" t="s">
        <v>491</v>
      </c>
      <c r="B448" s="11" t="n">
        <v>45871</v>
      </c>
      <c r="C448" s="10" t="s">
        <v>49</v>
      </c>
      <c r="D448" s="10" t="s">
        <v>24</v>
      </c>
      <c r="E448" s="10" t="s">
        <v>38</v>
      </c>
      <c r="F448" s="10" t="s">
        <v>26</v>
      </c>
      <c r="G448" s="10" t="n">
        <v>2</v>
      </c>
      <c r="H448" s="12" t="n">
        <v>250</v>
      </c>
      <c r="I448" s="12" t="n">
        <v>170</v>
      </c>
      <c r="J448" s="13" t="n">
        <f aca="false">G448*H448</f>
        <v>500</v>
      </c>
      <c r="K448" s="13" t="n">
        <f aca="false">J448-G448*I448</f>
        <v>160</v>
      </c>
    </row>
    <row r="449" customFormat="false" ht="15" hidden="false" customHeight="false" outlineLevel="0" collapsed="false">
      <c r="A449" s="10" t="s">
        <v>492</v>
      </c>
      <c r="B449" s="11" t="n">
        <v>45872</v>
      </c>
      <c r="C449" s="10" t="s">
        <v>53</v>
      </c>
      <c r="D449" s="10" t="s">
        <v>24</v>
      </c>
      <c r="E449" s="10" t="s">
        <v>33</v>
      </c>
      <c r="F449" s="10" t="s">
        <v>34</v>
      </c>
      <c r="G449" s="10" t="n">
        <v>1</v>
      </c>
      <c r="H449" s="12" t="n">
        <v>300</v>
      </c>
      <c r="I449" s="12" t="n">
        <v>200</v>
      </c>
      <c r="J449" s="13" t="n">
        <f aca="false">G449*H449</f>
        <v>300</v>
      </c>
      <c r="K449" s="13" t="n">
        <f aca="false">J449-G449*I449</f>
        <v>100</v>
      </c>
    </row>
    <row r="450" customFormat="false" ht="15" hidden="false" customHeight="false" outlineLevel="0" collapsed="false">
      <c r="A450" s="10" t="s">
        <v>493</v>
      </c>
      <c r="B450" s="11" t="n">
        <v>45872</v>
      </c>
      <c r="C450" s="10" t="s">
        <v>49</v>
      </c>
      <c r="D450" s="10" t="s">
        <v>24</v>
      </c>
      <c r="E450" s="10" t="s">
        <v>33</v>
      </c>
      <c r="F450" s="10" t="s">
        <v>34</v>
      </c>
      <c r="G450" s="10" t="n">
        <v>2</v>
      </c>
      <c r="H450" s="12" t="n">
        <v>250</v>
      </c>
      <c r="I450" s="12" t="n">
        <v>170</v>
      </c>
      <c r="J450" s="13" t="n">
        <f aca="false">G450*H450</f>
        <v>500</v>
      </c>
      <c r="K450" s="13" t="n">
        <f aca="false">J450-G450*I450</f>
        <v>160</v>
      </c>
    </row>
    <row r="451" customFormat="false" ht="15" hidden="false" customHeight="false" outlineLevel="0" collapsed="false">
      <c r="A451" s="10" t="s">
        <v>494</v>
      </c>
      <c r="B451" s="11" t="n">
        <v>45873</v>
      </c>
      <c r="C451" s="10" t="s">
        <v>84</v>
      </c>
      <c r="D451" s="10" t="s">
        <v>42</v>
      </c>
      <c r="E451" s="10" t="s">
        <v>38</v>
      </c>
      <c r="F451" s="10" t="s">
        <v>26</v>
      </c>
      <c r="G451" s="10" t="n">
        <v>2</v>
      </c>
      <c r="H451" s="12" t="n">
        <v>480</v>
      </c>
      <c r="I451" s="12" t="n">
        <v>220</v>
      </c>
      <c r="J451" s="13" t="n">
        <f aca="false">G451*H451</f>
        <v>960</v>
      </c>
      <c r="K451" s="13" t="n">
        <f aca="false">J451-G451*I451</f>
        <v>520</v>
      </c>
    </row>
    <row r="452" customFormat="false" ht="15" hidden="false" customHeight="false" outlineLevel="0" collapsed="false">
      <c r="A452" s="10" t="s">
        <v>495</v>
      </c>
      <c r="B452" s="11" t="n">
        <v>45873</v>
      </c>
      <c r="C452" s="10" t="s">
        <v>36</v>
      </c>
      <c r="D452" s="10" t="s">
        <v>29</v>
      </c>
      <c r="E452" s="10" t="s">
        <v>38</v>
      </c>
      <c r="F452" s="10" t="s">
        <v>34</v>
      </c>
      <c r="G452" s="10" t="n">
        <v>4</v>
      </c>
      <c r="H452" s="12" t="n">
        <v>380</v>
      </c>
      <c r="I452" s="12" t="n">
        <v>260</v>
      </c>
      <c r="J452" s="13" t="n">
        <f aca="false">G452*H452</f>
        <v>1520</v>
      </c>
      <c r="K452" s="13" t="n">
        <f aca="false">J452-G452*I452</f>
        <v>480</v>
      </c>
    </row>
    <row r="453" customFormat="false" ht="15" hidden="false" customHeight="false" outlineLevel="0" collapsed="false">
      <c r="A453" s="10" t="s">
        <v>496</v>
      </c>
      <c r="B453" s="11" t="n">
        <v>45873</v>
      </c>
      <c r="C453" s="10" t="s">
        <v>41</v>
      </c>
      <c r="D453" s="10" t="s">
        <v>42</v>
      </c>
      <c r="E453" s="10" t="s">
        <v>38</v>
      </c>
      <c r="F453" s="10" t="s">
        <v>26</v>
      </c>
      <c r="G453" s="10" t="n">
        <v>4</v>
      </c>
      <c r="H453" s="12" t="n">
        <v>45</v>
      </c>
      <c r="I453" s="12" t="n">
        <v>20</v>
      </c>
      <c r="J453" s="13" t="n">
        <f aca="false">G453*H453</f>
        <v>180</v>
      </c>
      <c r="K453" s="13" t="n">
        <f aca="false">J453-G453*I453</f>
        <v>100</v>
      </c>
    </row>
    <row r="454" customFormat="false" ht="15" hidden="false" customHeight="false" outlineLevel="0" collapsed="false">
      <c r="A454" s="10" t="s">
        <v>497</v>
      </c>
      <c r="B454" s="11" t="n">
        <v>45874</v>
      </c>
      <c r="C454" s="10" t="s">
        <v>55</v>
      </c>
      <c r="D454" s="10" t="s">
        <v>24</v>
      </c>
      <c r="E454" s="10" t="s">
        <v>38</v>
      </c>
      <c r="F454" s="10" t="s">
        <v>34</v>
      </c>
      <c r="G454" s="10" t="n">
        <v>2</v>
      </c>
      <c r="H454" s="12" t="n">
        <v>280</v>
      </c>
      <c r="I454" s="12" t="n">
        <v>190</v>
      </c>
      <c r="J454" s="13" t="n">
        <f aca="false">G454*H454</f>
        <v>560</v>
      </c>
      <c r="K454" s="13" t="n">
        <f aca="false">J454-G454*I454</f>
        <v>180</v>
      </c>
    </row>
    <row r="455" customFormat="false" ht="15" hidden="false" customHeight="false" outlineLevel="0" collapsed="false">
      <c r="A455" s="10" t="s">
        <v>498</v>
      </c>
      <c r="B455" s="11" t="n">
        <v>45876</v>
      </c>
      <c r="C455" s="10" t="s">
        <v>36</v>
      </c>
      <c r="D455" s="10" t="s">
        <v>29</v>
      </c>
      <c r="E455" s="10" t="s">
        <v>38</v>
      </c>
      <c r="F455" s="10" t="s">
        <v>34</v>
      </c>
      <c r="G455" s="10" t="n">
        <v>3</v>
      </c>
      <c r="H455" s="12" t="n">
        <v>380</v>
      </c>
      <c r="I455" s="12" t="n">
        <v>260</v>
      </c>
      <c r="J455" s="13" t="n">
        <f aca="false">G455*H455</f>
        <v>1140</v>
      </c>
      <c r="K455" s="13" t="n">
        <f aca="false">J455-G455*I455</f>
        <v>360</v>
      </c>
    </row>
    <row r="456" customFormat="false" ht="15" hidden="false" customHeight="false" outlineLevel="0" collapsed="false">
      <c r="A456" s="10" t="s">
        <v>499</v>
      </c>
      <c r="B456" s="11" t="n">
        <v>45877</v>
      </c>
      <c r="C456" s="10" t="s">
        <v>67</v>
      </c>
      <c r="D456" s="10" t="s">
        <v>68</v>
      </c>
      <c r="E456" s="10" t="s">
        <v>25</v>
      </c>
      <c r="F456" s="10" t="s">
        <v>34</v>
      </c>
      <c r="G456" s="10" t="n">
        <v>2</v>
      </c>
      <c r="H456" s="12" t="n">
        <v>2600</v>
      </c>
      <c r="I456" s="12" t="n">
        <v>2100</v>
      </c>
      <c r="J456" s="13" t="n">
        <f aca="false">G456*H456</f>
        <v>5200</v>
      </c>
      <c r="K456" s="13" t="n">
        <f aca="false">J456-G456*I456</f>
        <v>1000</v>
      </c>
    </row>
    <row r="457" customFormat="false" ht="15" hidden="false" customHeight="false" outlineLevel="0" collapsed="false">
      <c r="A457" s="10" t="s">
        <v>500</v>
      </c>
      <c r="B457" s="11" t="n">
        <v>45878</v>
      </c>
      <c r="C457" s="10" t="s">
        <v>23</v>
      </c>
      <c r="D457" s="10" t="s">
        <v>24</v>
      </c>
      <c r="E457" s="10" t="s">
        <v>25</v>
      </c>
      <c r="F457" s="10" t="s">
        <v>34</v>
      </c>
      <c r="G457" s="10" t="n">
        <v>1</v>
      </c>
      <c r="H457" s="12" t="n">
        <v>260</v>
      </c>
      <c r="I457" s="12" t="n">
        <v>180</v>
      </c>
      <c r="J457" s="13" t="n">
        <f aca="false">G457*H457</f>
        <v>260</v>
      </c>
      <c r="K457" s="13" t="n">
        <f aca="false">J457-G457*I457</f>
        <v>80</v>
      </c>
    </row>
    <row r="458" customFormat="false" ht="15" hidden="false" customHeight="false" outlineLevel="0" collapsed="false">
      <c r="A458" s="10" t="s">
        <v>501</v>
      </c>
      <c r="B458" s="11" t="n">
        <v>45878</v>
      </c>
      <c r="C458" s="10" t="s">
        <v>23</v>
      </c>
      <c r="D458" s="10" t="s">
        <v>24</v>
      </c>
      <c r="E458" s="10" t="s">
        <v>57</v>
      </c>
      <c r="F458" s="10" t="s">
        <v>26</v>
      </c>
      <c r="G458" s="10" t="n">
        <v>2</v>
      </c>
      <c r="H458" s="12" t="n">
        <v>260</v>
      </c>
      <c r="I458" s="12" t="n">
        <v>180</v>
      </c>
      <c r="J458" s="13" t="n">
        <f aca="false">G458*H458</f>
        <v>520</v>
      </c>
      <c r="K458" s="13" t="n">
        <f aca="false">J458-G458*I458</f>
        <v>160</v>
      </c>
    </row>
    <row r="459" customFormat="false" ht="15" hidden="false" customHeight="false" outlineLevel="0" collapsed="false">
      <c r="A459" s="10" t="s">
        <v>502</v>
      </c>
      <c r="B459" s="11" t="n">
        <v>45879</v>
      </c>
      <c r="C459" s="10" t="s">
        <v>32</v>
      </c>
      <c r="D459" s="10" t="s">
        <v>29</v>
      </c>
      <c r="E459" s="10" t="s">
        <v>57</v>
      </c>
      <c r="F459" s="10" t="s">
        <v>26</v>
      </c>
      <c r="G459" s="10" t="n">
        <v>3</v>
      </c>
      <c r="H459" s="12" t="n">
        <v>520</v>
      </c>
      <c r="I459" s="12" t="n">
        <v>300</v>
      </c>
      <c r="J459" s="13" t="n">
        <f aca="false">G459*H459</f>
        <v>1560</v>
      </c>
      <c r="K459" s="13" t="n">
        <f aca="false">J459-G459*I459</f>
        <v>660</v>
      </c>
    </row>
    <row r="460" customFormat="false" ht="15" hidden="false" customHeight="false" outlineLevel="0" collapsed="false">
      <c r="A460" s="10" t="s">
        <v>503</v>
      </c>
      <c r="B460" s="11" t="n">
        <v>45880</v>
      </c>
      <c r="C460" s="10" t="s">
        <v>32</v>
      </c>
      <c r="D460" s="10" t="s">
        <v>29</v>
      </c>
      <c r="E460" s="10" t="s">
        <v>38</v>
      </c>
      <c r="F460" s="10" t="s">
        <v>26</v>
      </c>
      <c r="G460" s="10" t="n">
        <v>3</v>
      </c>
      <c r="H460" s="12" t="n">
        <v>520</v>
      </c>
      <c r="I460" s="12" t="n">
        <v>300</v>
      </c>
      <c r="J460" s="13" t="n">
        <f aca="false">G460*H460</f>
        <v>1560</v>
      </c>
      <c r="K460" s="13" t="n">
        <f aca="false">J460-G460*I460</f>
        <v>660</v>
      </c>
    </row>
    <row r="461" customFormat="false" ht="15" hidden="false" customHeight="false" outlineLevel="0" collapsed="false">
      <c r="A461" s="10" t="s">
        <v>504</v>
      </c>
      <c r="B461" s="11" t="n">
        <v>45881</v>
      </c>
      <c r="C461" s="10" t="s">
        <v>23</v>
      </c>
      <c r="D461" s="10" t="s">
        <v>24</v>
      </c>
      <c r="E461" s="10" t="s">
        <v>30</v>
      </c>
      <c r="F461" s="10" t="s">
        <v>34</v>
      </c>
      <c r="G461" s="10" t="n">
        <v>2</v>
      </c>
      <c r="H461" s="12" t="n">
        <v>260</v>
      </c>
      <c r="I461" s="12" t="n">
        <v>180</v>
      </c>
      <c r="J461" s="13" t="n">
        <f aca="false">G461*H461</f>
        <v>520</v>
      </c>
      <c r="K461" s="13" t="n">
        <f aca="false">J461-G461*I461</f>
        <v>160</v>
      </c>
    </row>
    <row r="462" customFormat="false" ht="15" hidden="false" customHeight="false" outlineLevel="0" collapsed="false">
      <c r="A462" s="10" t="s">
        <v>505</v>
      </c>
      <c r="B462" s="11" t="n">
        <v>45881</v>
      </c>
      <c r="C462" s="10" t="s">
        <v>41</v>
      </c>
      <c r="D462" s="10" t="s">
        <v>42</v>
      </c>
      <c r="E462" s="10" t="s">
        <v>25</v>
      </c>
      <c r="F462" s="10" t="s">
        <v>34</v>
      </c>
      <c r="G462" s="10" t="n">
        <v>1</v>
      </c>
      <c r="H462" s="12" t="n">
        <v>45</v>
      </c>
      <c r="I462" s="12" t="n">
        <v>20</v>
      </c>
      <c r="J462" s="13" t="n">
        <f aca="false">G462*H462</f>
        <v>45</v>
      </c>
      <c r="K462" s="13" t="n">
        <f aca="false">J462-G462*I462</f>
        <v>25</v>
      </c>
    </row>
    <row r="463" customFormat="false" ht="15" hidden="false" customHeight="false" outlineLevel="0" collapsed="false">
      <c r="A463" s="10" t="s">
        <v>506</v>
      </c>
      <c r="B463" s="11" t="n">
        <v>45881</v>
      </c>
      <c r="C463" s="10" t="s">
        <v>55</v>
      </c>
      <c r="D463" s="10" t="s">
        <v>24</v>
      </c>
      <c r="E463" s="10" t="s">
        <v>30</v>
      </c>
      <c r="F463" s="10" t="s">
        <v>26</v>
      </c>
      <c r="G463" s="10" t="n">
        <v>2</v>
      </c>
      <c r="H463" s="12" t="n">
        <v>280</v>
      </c>
      <c r="I463" s="12" t="n">
        <v>190</v>
      </c>
      <c r="J463" s="13" t="n">
        <f aca="false">G463*H463</f>
        <v>560</v>
      </c>
      <c r="K463" s="13" t="n">
        <f aca="false">J463-G463*I463</f>
        <v>180</v>
      </c>
    </row>
    <row r="464" customFormat="false" ht="15" hidden="false" customHeight="false" outlineLevel="0" collapsed="false">
      <c r="A464" s="10" t="s">
        <v>507</v>
      </c>
      <c r="B464" s="11" t="n">
        <v>45882</v>
      </c>
      <c r="C464" s="10" t="s">
        <v>53</v>
      </c>
      <c r="D464" s="10" t="s">
        <v>24</v>
      </c>
      <c r="E464" s="10" t="s">
        <v>30</v>
      </c>
      <c r="F464" s="10" t="s">
        <v>26</v>
      </c>
      <c r="G464" s="10" t="n">
        <v>1</v>
      </c>
      <c r="H464" s="12" t="n">
        <v>300</v>
      </c>
      <c r="I464" s="12" t="n">
        <v>200</v>
      </c>
      <c r="J464" s="13" t="n">
        <f aca="false">G464*H464</f>
        <v>300</v>
      </c>
      <c r="K464" s="13" t="n">
        <f aca="false">J464-G464*I464</f>
        <v>100</v>
      </c>
    </row>
    <row r="465" customFormat="false" ht="15" hidden="false" customHeight="false" outlineLevel="0" collapsed="false">
      <c r="A465" s="10" t="s">
        <v>508</v>
      </c>
      <c r="B465" s="11" t="n">
        <v>45882</v>
      </c>
      <c r="C465" s="10" t="s">
        <v>51</v>
      </c>
      <c r="D465" s="10" t="s">
        <v>42</v>
      </c>
      <c r="E465" s="10" t="s">
        <v>57</v>
      </c>
      <c r="F465" s="10" t="s">
        <v>26</v>
      </c>
      <c r="G465" s="10" t="n">
        <v>3</v>
      </c>
      <c r="H465" s="12" t="n">
        <v>130</v>
      </c>
      <c r="I465" s="12" t="n">
        <v>60</v>
      </c>
      <c r="J465" s="13" t="n">
        <f aca="false">G465*H465</f>
        <v>390</v>
      </c>
      <c r="K465" s="13" t="n">
        <f aca="false">J465-G465*I465</f>
        <v>210</v>
      </c>
    </row>
    <row r="466" customFormat="false" ht="15" hidden="false" customHeight="false" outlineLevel="0" collapsed="false">
      <c r="A466" s="10" t="s">
        <v>509</v>
      </c>
      <c r="B466" s="11" t="n">
        <v>45886</v>
      </c>
      <c r="C466" s="10" t="s">
        <v>28</v>
      </c>
      <c r="D466" s="10" t="s">
        <v>29</v>
      </c>
      <c r="E466" s="10" t="s">
        <v>30</v>
      </c>
      <c r="F466" s="10" t="s">
        <v>26</v>
      </c>
      <c r="G466" s="10" t="n">
        <v>4</v>
      </c>
      <c r="H466" s="12" t="n">
        <v>450</v>
      </c>
      <c r="I466" s="12" t="n">
        <v>280</v>
      </c>
      <c r="J466" s="13" t="n">
        <f aca="false">G466*H466</f>
        <v>1800</v>
      </c>
      <c r="K466" s="13" t="n">
        <f aca="false">J466-G466*I466</f>
        <v>680</v>
      </c>
    </row>
    <row r="467" customFormat="false" ht="15" hidden="false" customHeight="false" outlineLevel="0" collapsed="false">
      <c r="A467" s="10" t="s">
        <v>510</v>
      </c>
      <c r="B467" s="11" t="n">
        <v>45886</v>
      </c>
      <c r="C467" s="10" t="s">
        <v>36</v>
      </c>
      <c r="D467" s="10" t="s">
        <v>29</v>
      </c>
      <c r="E467" s="10" t="s">
        <v>38</v>
      </c>
      <c r="F467" s="10" t="s">
        <v>34</v>
      </c>
      <c r="G467" s="10" t="n">
        <v>3</v>
      </c>
      <c r="H467" s="12" t="n">
        <v>380</v>
      </c>
      <c r="I467" s="12" t="n">
        <v>260</v>
      </c>
      <c r="J467" s="13" t="n">
        <f aca="false">G467*H467</f>
        <v>1140</v>
      </c>
      <c r="K467" s="13" t="n">
        <f aca="false">J467-G467*I467</f>
        <v>360</v>
      </c>
    </row>
    <row r="468" customFormat="false" ht="15" hidden="false" customHeight="false" outlineLevel="0" collapsed="false">
      <c r="A468" s="10" t="s">
        <v>511</v>
      </c>
      <c r="B468" s="11" t="n">
        <v>45890</v>
      </c>
      <c r="C468" s="10" t="s">
        <v>55</v>
      </c>
      <c r="D468" s="10" t="s">
        <v>24</v>
      </c>
      <c r="E468" s="10" t="s">
        <v>38</v>
      </c>
      <c r="F468" s="10" t="s">
        <v>34</v>
      </c>
      <c r="G468" s="10" t="n">
        <v>1</v>
      </c>
      <c r="H468" s="12" t="n">
        <v>280</v>
      </c>
      <c r="I468" s="12" t="n">
        <v>190</v>
      </c>
      <c r="J468" s="13" t="n">
        <f aca="false">G468*H468</f>
        <v>280</v>
      </c>
      <c r="K468" s="13" t="n">
        <f aca="false">J468-G468*I468</f>
        <v>90</v>
      </c>
    </row>
    <row r="469" customFormat="false" ht="15" hidden="false" customHeight="false" outlineLevel="0" collapsed="false">
      <c r="A469" s="10" t="s">
        <v>512</v>
      </c>
      <c r="B469" s="11" t="n">
        <v>45892</v>
      </c>
      <c r="C469" s="10" t="s">
        <v>28</v>
      </c>
      <c r="D469" s="10" t="s">
        <v>29</v>
      </c>
      <c r="E469" s="10" t="s">
        <v>30</v>
      </c>
      <c r="F469" s="10" t="s">
        <v>26</v>
      </c>
      <c r="G469" s="10" t="n">
        <v>1</v>
      </c>
      <c r="H469" s="12" t="n">
        <v>450</v>
      </c>
      <c r="I469" s="12" t="n">
        <v>280</v>
      </c>
      <c r="J469" s="13" t="n">
        <f aca="false">G469*H469</f>
        <v>450</v>
      </c>
      <c r="K469" s="13" t="n">
        <f aca="false">J469-G469*I469</f>
        <v>170</v>
      </c>
    </row>
    <row r="470" customFormat="false" ht="15" hidden="false" customHeight="false" outlineLevel="0" collapsed="false">
      <c r="A470" s="10" t="s">
        <v>513</v>
      </c>
      <c r="B470" s="11" t="n">
        <v>45893</v>
      </c>
      <c r="C470" s="10" t="s">
        <v>41</v>
      </c>
      <c r="D470" s="10" t="s">
        <v>42</v>
      </c>
      <c r="E470" s="10" t="s">
        <v>33</v>
      </c>
      <c r="F470" s="10" t="s">
        <v>34</v>
      </c>
      <c r="G470" s="10" t="n">
        <v>1</v>
      </c>
      <c r="H470" s="12" t="n">
        <v>45</v>
      </c>
      <c r="I470" s="12" t="n">
        <v>20</v>
      </c>
      <c r="J470" s="13" t="n">
        <f aca="false">G470*H470</f>
        <v>45</v>
      </c>
      <c r="K470" s="13" t="n">
        <f aca="false">J470-G470*I470</f>
        <v>25</v>
      </c>
    </row>
    <row r="471" customFormat="false" ht="15" hidden="false" customHeight="false" outlineLevel="0" collapsed="false">
      <c r="A471" s="10" t="s">
        <v>514</v>
      </c>
      <c r="B471" s="11" t="n">
        <v>45894</v>
      </c>
      <c r="C471" s="10" t="s">
        <v>49</v>
      </c>
      <c r="D471" s="10" t="s">
        <v>24</v>
      </c>
      <c r="E471" s="10" t="s">
        <v>25</v>
      </c>
      <c r="F471" s="10" t="s">
        <v>34</v>
      </c>
      <c r="G471" s="10" t="n">
        <v>3</v>
      </c>
      <c r="H471" s="12" t="n">
        <v>250</v>
      </c>
      <c r="I471" s="12" t="n">
        <v>170</v>
      </c>
      <c r="J471" s="13" t="n">
        <f aca="false">G471*H471</f>
        <v>750</v>
      </c>
      <c r="K471" s="13" t="n">
        <f aca="false">J471-G471*I471</f>
        <v>240</v>
      </c>
    </row>
    <row r="472" customFormat="false" ht="15" hidden="false" customHeight="false" outlineLevel="0" collapsed="false">
      <c r="A472" s="10" t="s">
        <v>515</v>
      </c>
      <c r="B472" s="11" t="n">
        <v>45897</v>
      </c>
      <c r="C472" s="10" t="s">
        <v>28</v>
      </c>
      <c r="D472" s="10" t="s">
        <v>29</v>
      </c>
      <c r="E472" s="10" t="s">
        <v>33</v>
      </c>
      <c r="F472" s="10" t="s">
        <v>26</v>
      </c>
      <c r="G472" s="10" t="n">
        <v>2</v>
      </c>
      <c r="H472" s="12" t="n">
        <v>450</v>
      </c>
      <c r="I472" s="12" t="n">
        <v>280</v>
      </c>
      <c r="J472" s="13" t="n">
        <f aca="false">G472*H472</f>
        <v>900</v>
      </c>
      <c r="K472" s="13" t="n">
        <f aca="false">J472-G472*I472</f>
        <v>340</v>
      </c>
    </row>
    <row r="473" customFormat="false" ht="15" hidden="false" customHeight="false" outlineLevel="0" collapsed="false">
      <c r="A473" s="10" t="s">
        <v>516</v>
      </c>
      <c r="B473" s="11" t="n">
        <v>45897</v>
      </c>
      <c r="C473" s="10" t="s">
        <v>101</v>
      </c>
      <c r="D473" s="10" t="s">
        <v>68</v>
      </c>
      <c r="E473" s="10" t="s">
        <v>38</v>
      </c>
      <c r="F473" s="10" t="s">
        <v>34</v>
      </c>
      <c r="G473" s="10" t="n">
        <v>2</v>
      </c>
      <c r="H473" s="12" t="n">
        <v>4200</v>
      </c>
      <c r="I473" s="12" t="n">
        <v>3300</v>
      </c>
      <c r="J473" s="13" t="n">
        <f aca="false">G473*H473</f>
        <v>8400</v>
      </c>
      <c r="K473" s="13" t="n">
        <f aca="false">J473-G473*I473</f>
        <v>1800</v>
      </c>
    </row>
    <row r="474" customFormat="false" ht="15" hidden="false" customHeight="false" outlineLevel="0" collapsed="false">
      <c r="A474" s="10" t="s">
        <v>517</v>
      </c>
      <c r="B474" s="11" t="n">
        <v>45900</v>
      </c>
      <c r="C474" s="10" t="s">
        <v>55</v>
      </c>
      <c r="D474" s="10" t="s">
        <v>24</v>
      </c>
      <c r="E474" s="10" t="s">
        <v>38</v>
      </c>
      <c r="F474" s="10" t="s">
        <v>26</v>
      </c>
      <c r="G474" s="10" t="n">
        <v>3</v>
      </c>
      <c r="H474" s="12" t="n">
        <v>280</v>
      </c>
      <c r="I474" s="12" t="n">
        <v>190</v>
      </c>
      <c r="J474" s="13" t="n">
        <f aca="false">G474*H474</f>
        <v>840</v>
      </c>
      <c r="K474" s="13" t="n">
        <f aca="false">J474-G474*I474</f>
        <v>270</v>
      </c>
    </row>
    <row r="475" customFormat="false" ht="15" hidden="false" customHeight="false" outlineLevel="0" collapsed="false">
      <c r="A475" s="10" t="s">
        <v>518</v>
      </c>
      <c r="B475" s="11" t="n">
        <v>45901</v>
      </c>
      <c r="C475" s="10" t="s">
        <v>28</v>
      </c>
      <c r="D475" s="10" t="s">
        <v>29</v>
      </c>
      <c r="E475" s="10" t="s">
        <v>38</v>
      </c>
      <c r="F475" s="10" t="s">
        <v>26</v>
      </c>
      <c r="G475" s="10" t="n">
        <v>1</v>
      </c>
      <c r="H475" s="12" t="n">
        <v>450</v>
      </c>
      <c r="I475" s="12" t="n">
        <v>280</v>
      </c>
      <c r="J475" s="13" t="n">
        <f aca="false">G475*H475</f>
        <v>450</v>
      </c>
      <c r="K475" s="13" t="n">
        <f aca="false">J475-G475*I475</f>
        <v>170</v>
      </c>
    </row>
    <row r="476" customFormat="false" ht="15" hidden="false" customHeight="false" outlineLevel="0" collapsed="false">
      <c r="A476" s="10" t="s">
        <v>519</v>
      </c>
      <c r="B476" s="11" t="n">
        <v>45901</v>
      </c>
      <c r="C476" s="10" t="s">
        <v>84</v>
      </c>
      <c r="D476" s="10" t="s">
        <v>42</v>
      </c>
      <c r="E476" s="10" t="s">
        <v>33</v>
      </c>
      <c r="F476" s="10" t="s">
        <v>34</v>
      </c>
      <c r="G476" s="10" t="n">
        <v>1</v>
      </c>
      <c r="H476" s="12" t="n">
        <v>480</v>
      </c>
      <c r="I476" s="12" t="n">
        <v>220</v>
      </c>
      <c r="J476" s="13" t="n">
        <f aca="false">G476*H476</f>
        <v>480</v>
      </c>
      <c r="K476" s="13" t="n">
        <f aca="false">J476-G476*I476</f>
        <v>260</v>
      </c>
    </row>
    <row r="477" customFormat="false" ht="15" hidden="false" customHeight="false" outlineLevel="0" collapsed="false">
      <c r="A477" s="10" t="s">
        <v>520</v>
      </c>
      <c r="B477" s="11" t="n">
        <v>45901</v>
      </c>
      <c r="C477" s="10" t="s">
        <v>36</v>
      </c>
      <c r="D477" s="10" t="s">
        <v>29</v>
      </c>
      <c r="E477" s="10" t="s">
        <v>33</v>
      </c>
      <c r="F477" s="10" t="s">
        <v>34</v>
      </c>
      <c r="G477" s="10" t="n">
        <v>2</v>
      </c>
      <c r="H477" s="12" t="n">
        <v>380</v>
      </c>
      <c r="I477" s="12" t="n">
        <v>260</v>
      </c>
      <c r="J477" s="13" t="n">
        <f aca="false">G477*H477</f>
        <v>760</v>
      </c>
      <c r="K477" s="13" t="n">
        <f aca="false">J477-G477*I477</f>
        <v>240</v>
      </c>
    </row>
    <row r="478" customFormat="false" ht="15" hidden="false" customHeight="false" outlineLevel="0" collapsed="false">
      <c r="A478" s="10" t="s">
        <v>521</v>
      </c>
      <c r="B478" s="11" t="n">
        <v>45903</v>
      </c>
      <c r="C478" s="10" t="s">
        <v>53</v>
      </c>
      <c r="D478" s="10" t="s">
        <v>24</v>
      </c>
      <c r="E478" s="10" t="s">
        <v>38</v>
      </c>
      <c r="F478" s="10" t="s">
        <v>26</v>
      </c>
      <c r="G478" s="10" t="n">
        <v>4</v>
      </c>
      <c r="H478" s="12" t="n">
        <v>300</v>
      </c>
      <c r="I478" s="12" t="n">
        <v>200</v>
      </c>
      <c r="J478" s="13" t="n">
        <f aca="false">G478*H478</f>
        <v>1200</v>
      </c>
      <c r="K478" s="13" t="n">
        <f aca="false">J478-G478*I478</f>
        <v>400</v>
      </c>
    </row>
    <row r="479" customFormat="false" ht="15" hidden="false" customHeight="false" outlineLevel="0" collapsed="false">
      <c r="A479" s="10" t="s">
        <v>522</v>
      </c>
      <c r="B479" s="11" t="n">
        <v>45905</v>
      </c>
      <c r="C479" s="10" t="s">
        <v>36</v>
      </c>
      <c r="D479" s="10" t="s">
        <v>29</v>
      </c>
      <c r="E479" s="10" t="s">
        <v>33</v>
      </c>
      <c r="F479" s="10" t="s">
        <v>26</v>
      </c>
      <c r="G479" s="10" t="n">
        <v>4</v>
      </c>
      <c r="H479" s="12" t="n">
        <v>380</v>
      </c>
      <c r="I479" s="12" t="n">
        <v>260</v>
      </c>
      <c r="J479" s="13" t="n">
        <f aca="false">G479*H479</f>
        <v>1520</v>
      </c>
      <c r="K479" s="13" t="n">
        <f aca="false">J479-G479*I479</f>
        <v>480</v>
      </c>
    </row>
    <row r="480" customFormat="false" ht="15" hidden="false" customHeight="false" outlineLevel="0" collapsed="false">
      <c r="A480" s="10" t="s">
        <v>523</v>
      </c>
      <c r="B480" s="11" t="n">
        <v>45908</v>
      </c>
      <c r="C480" s="10" t="s">
        <v>28</v>
      </c>
      <c r="D480" s="10" t="s">
        <v>29</v>
      </c>
      <c r="E480" s="10" t="s">
        <v>33</v>
      </c>
      <c r="F480" s="10" t="s">
        <v>26</v>
      </c>
      <c r="G480" s="10" t="n">
        <v>1</v>
      </c>
      <c r="H480" s="12" t="n">
        <v>450</v>
      </c>
      <c r="I480" s="12" t="n">
        <v>280</v>
      </c>
      <c r="J480" s="13" t="n">
        <f aca="false">G480*H480</f>
        <v>450</v>
      </c>
      <c r="K480" s="13" t="n">
        <f aca="false">J480-G480*I480</f>
        <v>170</v>
      </c>
    </row>
    <row r="481" customFormat="false" ht="15" hidden="false" customHeight="false" outlineLevel="0" collapsed="false">
      <c r="A481" s="10" t="s">
        <v>524</v>
      </c>
      <c r="B481" s="11" t="n">
        <v>45908</v>
      </c>
      <c r="C481" s="10" t="s">
        <v>41</v>
      </c>
      <c r="D481" s="10" t="s">
        <v>42</v>
      </c>
      <c r="E481" s="10" t="s">
        <v>57</v>
      </c>
      <c r="F481" s="10" t="s">
        <v>26</v>
      </c>
      <c r="G481" s="10" t="n">
        <v>3</v>
      </c>
      <c r="H481" s="12" t="n">
        <v>45</v>
      </c>
      <c r="I481" s="12" t="n">
        <v>20</v>
      </c>
      <c r="J481" s="13" t="n">
        <f aca="false">G481*H481</f>
        <v>135</v>
      </c>
      <c r="K481" s="13" t="n">
        <f aca="false">J481-G481*I481</f>
        <v>75</v>
      </c>
    </row>
    <row r="482" customFormat="false" ht="15" hidden="false" customHeight="false" outlineLevel="0" collapsed="false">
      <c r="A482" s="10" t="s">
        <v>525</v>
      </c>
      <c r="B482" s="11" t="n">
        <v>45909</v>
      </c>
      <c r="C482" s="10" t="s">
        <v>101</v>
      </c>
      <c r="D482" s="10" t="s">
        <v>68</v>
      </c>
      <c r="E482" s="10" t="s">
        <v>30</v>
      </c>
      <c r="F482" s="10" t="s">
        <v>34</v>
      </c>
      <c r="G482" s="10" t="n">
        <v>1</v>
      </c>
      <c r="H482" s="12" t="n">
        <v>4200</v>
      </c>
      <c r="I482" s="12" t="n">
        <v>3300</v>
      </c>
      <c r="J482" s="13" t="n">
        <f aca="false">G482*H482</f>
        <v>4200</v>
      </c>
      <c r="K482" s="13" t="n">
        <f aca="false">J482-G482*I482</f>
        <v>900</v>
      </c>
    </row>
    <row r="483" customFormat="false" ht="15" hidden="false" customHeight="false" outlineLevel="0" collapsed="false">
      <c r="A483" s="10" t="s">
        <v>526</v>
      </c>
      <c r="B483" s="11" t="n">
        <v>45912</v>
      </c>
      <c r="C483" s="10" t="s">
        <v>53</v>
      </c>
      <c r="D483" s="10" t="s">
        <v>24</v>
      </c>
      <c r="E483" s="10" t="s">
        <v>30</v>
      </c>
      <c r="F483" s="10" t="s">
        <v>26</v>
      </c>
      <c r="G483" s="10" t="n">
        <v>1</v>
      </c>
      <c r="H483" s="12" t="n">
        <v>300</v>
      </c>
      <c r="I483" s="12" t="n">
        <v>200</v>
      </c>
      <c r="J483" s="13" t="n">
        <f aca="false">G483*H483</f>
        <v>300</v>
      </c>
      <c r="K483" s="13" t="n">
        <f aca="false">J483-G483*I483</f>
        <v>100</v>
      </c>
    </row>
    <row r="484" customFormat="false" ht="15" hidden="false" customHeight="false" outlineLevel="0" collapsed="false">
      <c r="A484" s="10" t="s">
        <v>527</v>
      </c>
      <c r="B484" s="11" t="n">
        <v>45912</v>
      </c>
      <c r="C484" s="10" t="s">
        <v>55</v>
      </c>
      <c r="D484" s="10" t="s">
        <v>24</v>
      </c>
      <c r="E484" s="10" t="s">
        <v>30</v>
      </c>
      <c r="F484" s="10" t="s">
        <v>34</v>
      </c>
      <c r="G484" s="10" t="n">
        <v>4</v>
      </c>
      <c r="H484" s="12" t="n">
        <v>280</v>
      </c>
      <c r="I484" s="12" t="n">
        <v>190</v>
      </c>
      <c r="J484" s="13" t="n">
        <f aca="false">G484*H484</f>
        <v>1120</v>
      </c>
      <c r="K484" s="13" t="n">
        <f aca="false">J484-G484*I484</f>
        <v>360</v>
      </c>
    </row>
    <row r="485" customFormat="false" ht="15" hidden="false" customHeight="false" outlineLevel="0" collapsed="false">
      <c r="A485" s="10" t="s">
        <v>528</v>
      </c>
      <c r="B485" s="11" t="n">
        <v>45912</v>
      </c>
      <c r="C485" s="10" t="s">
        <v>41</v>
      </c>
      <c r="D485" s="10" t="s">
        <v>42</v>
      </c>
      <c r="E485" s="10" t="s">
        <v>30</v>
      </c>
      <c r="F485" s="10" t="s">
        <v>26</v>
      </c>
      <c r="G485" s="10" t="n">
        <v>1</v>
      </c>
      <c r="H485" s="12" t="n">
        <v>45</v>
      </c>
      <c r="I485" s="12" t="n">
        <v>20</v>
      </c>
      <c r="J485" s="13" t="n">
        <f aca="false">G485*H485</f>
        <v>45</v>
      </c>
      <c r="K485" s="13" t="n">
        <f aca="false">J485-G485*I485</f>
        <v>25</v>
      </c>
    </row>
    <row r="486" customFormat="false" ht="15" hidden="false" customHeight="false" outlineLevel="0" collapsed="false">
      <c r="A486" s="10" t="s">
        <v>529</v>
      </c>
      <c r="B486" s="11" t="n">
        <v>45914</v>
      </c>
      <c r="C486" s="10" t="s">
        <v>53</v>
      </c>
      <c r="D486" s="10" t="s">
        <v>24</v>
      </c>
      <c r="E486" s="10" t="s">
        <v>30</v>
      </c>
      <c r="F486" s="10" t="s">
        <v>26</v>
      </c>
      <c r="G486" s="10" t="n">
        <v>2</v>
      </c>
      <c r="H486" s="12" t="n">
        <v>300</v>
      </c>
      <c r="I486" s="12" t="n">
        <v>200</v>
      </c>
      <c r="J486" s="13" t="n">
        <f aca="false">G486*H486</f>
        <v>600</v>
      </c>
      <c r="K486" s="13" t="n">
        <f aca="false">J486-G486*I486</f>
        <v>200</v>
      </c>
    </row>
    <row r="487" customFormat="false" ht="15" hidden="false" customHeight="false" outlineLevel="0" collapsed="false">
      <c r="A487" s="10" t="s">
        <v>530</v>
      </c>
      <c r="B487" s="11" t="n">
        <v>45915</v>
      </c>
      <c r="C487" s="10" t="s">
        <v>28</v>
      </c>
      <c r="D487" s="10" t="s">
        <v>29</v>
      </c>
      <c r="E487" s="10" t="s">
        <v>33</v>
      </c>
      <c r="F487" s="10" t="s">
        <v>26</v>
      </c>
      <c r="G487" s="10" t="n">
        <v>3</v>
      </c>
      <c r="H487" s="12" t="n">
        <v>450</v>
      </c>
      <c r="I487" s="12" t="n">
        <v>280</v>
      </c>
      <c r="J487" s="13" t="n">
        <f aca="false">G487*H487</f>
        <v>1350</v>
      </c>
      <c r="K487" s="13" t="n">
        <f aca="false">J487-G487*I487</f>
        <v>510</v>
      </c>
    </row>
    <row r="488" customFormat="false" ht="15" hidden="false" customHeight="false" outlineLevel="0" collapsed="false">
      <c r="A488" s="10" t="s">
        <v>531</v>
      </c>
      <c r="B488" s="11" t="n">
        <v>45917</v>
      </c>
      <c r="C488" s="10" t="s">
        <v>84</v>
      </c>
      <c r="D488" s="10" t="s">
        <v>42</v>
      </c>
      <c r="E488" s="10" t="s">
        <v>33</v>
      </c>
      <c r="F488" s="10" t="s">
        <v>26</v>
      </c>
      <c r="G488" s="10" t="n">
        <v>3</v>
      </c>
      <c r="H488" s="12" t="n">
        <v>480</v>
      </c>
      <c r="I488" s="12" t="n">
        <v>220</v>
      </c>
      <c r="J488" s="13" t="n">
        <f aca="false">G488*H488</f>
        <v>1440</v>
      </c>
      <c r="K488" s="13" t="n">
        <f aca="false">J488-G488*I488</f>
        <v>780</v>
      </c>
    </row>
    <row r="489" customFormat="false" ht="15" hidden="false" customHeight="false" outlineLevel="0" collapsed="false">
      <c r="A489" s="10" t="s">
        <v>532</v>
      </c>
      <c r="B489" s="11" t="n">
        <v>45918</v>
      </c>
      <c r="C489" s="10" t="s">
        <v>41</v>
      </c>
      <c r="D489" s="10" t="s">
        <v>42</v>
      </c>
      <c r="E489" s="10" t="s">
        <v>33</v>
      </c>
      <c r="F489" s="10" t="s">
        <v>26</v>
      </c>
      <c r="G489" s="10" t="n">
        <v>4</v>
      </c>
      <c r="H489" s="12" t="n">
        <v>45</v>
      </c>
      <c r="I489" s="12" t="n">
        <v>20</v>
      </c>
      <c r="J489" s="13" t="n">
        <f aca="false">G489*H489</f>
        <v>180</v>
      </c>
      <c r="K489" s="13" t="n">
        <f aca="false">J489-G489*I489</f>
        <v>100</v>
      </c>
    </row>
    <row r="490" customFormat="false" ht="15" hidden="false" customHeight="false" outlineLevel="0" collapsed="false">
      <c r="A490" s="10" t="s">
        <v>533</v>
      </c>
      <c r="B490" s="11" t="n">
        <v>45918</v>
      </c>
      <c r="C490" s="10" t="s">
        <v>49</v>
      </c>
      <c r="D490" s="10" t="s">
        <v>24</v>
      </c>
      <c r="E490" s="10" t="s">
        <v>38</v>
      </c>
      <c r="F490" s="10" t="s">
        <v>26</v>
      </c>
      <c r="G490" s="10" t="n">
        <v>2</v>
      </c>
      <c r="H490" s="12" t="n">
        <v>250</v>
      </c>
      <c r="I490" s="12" t="n">
        <v>170</v>
      </c>
      <c r="J490" s="13" t="n">
        <f aca="false">G490*H490</f>
        <v>500</v>
      </c>
      <c r="K490" s="13" t="n">
        <f aca="false">J490-G490*I490</f>
        <v>160</v>
      </c>
    </row>
    <row r="491" customFormat="false" ht="15" hidden="false" customHeight="false" outlineLevel="0" collapsed="false">
      <c r="A491" s="10" t="s">
        <v>534</v>
      </c>
      <c r="B491" s="11" t="n">
        <v>45919</v>
      </c>
      <c r="C491" s="10" t="s">
        <v>41</v>
      </c>
      <c r="D491" s="10" t="s">
        <v>42</v>
      </c>
      <c r="E491" s="10" t="s">
        <v>38</v>
      </c>
      <c r="F491" s="10" t="s">
        <v>26</v>
      </c>
      <c r="G491" s="10" t="n">
        <v>4</v>
      </c>
      <c r="H491" s="12" t="n">
        <v>45</v>
      </c>
      <c r="I491" s="12" t="n">
        <v>20</v>
      </c>
      <c r="J491" s="13" t="n">
        <f aca="false">G491*H491</f>
        <v>180</v>
      </c>
      <c r="K491" s="13" t="n">
        <f aca="false">J491-G491*I491</f>
        <v>100</v>
      </c>
    </row>
    <row r="492" customFormat="false" ht="15" hidden="false" customHeight="false" outlineLevel="0" collapsed="false">
      <c r="A492" s="10" t="s">
        <v>535</v>
      </c>
      <c r="B492" s="11" t="n">
        <v>45920</v>
      </c>
      <c r="C492" s="10" t="s">
        <v>41</v>
      </c>
      <c r="D492" s="10" t="s">
        <v>42</v>
      </c>
      <c r="E492" s="10" t="s">
        <v>30</v>
      </c>
      <c r="F492" s="10" t="s">
        <v>34</v>
      </c>
      <c r="G492" s="10" t="n">
        <v>3</v>
      </c>
      <c r="H492" s="12" t="n">
        <v>45</v>
      </c>
      <c r="I492" s="12" t="n">
        <v>20</v>
      </c>
      <c r="J492" s="13" t="n">
        <f aca="false">G492*H492</f>
        <v>135</v>
      </c>
      <c r="K492" s="13" t="n">
        <f aca="false">J492-G492*I492</f>
        <v>75</v>
      </c>
    </row>
    <row r="493" customFormat="false" ht="15" hidden="false" customHeight="false" outlineLevel="0" collapsed="false">
      <c r="A493" s="10" t="s">
        <v>536</v>
      </c>
      <c r="B493" s="11" t="n">
        <v>45921</v>
      </c>
      <c r="C493" s="10" t="s">
        <v>55</v>
      </c>
      <c r="D493" s="10" t="s">
        <v>24</v>
      </c>
      <c r="E493" s="10" t="s">
        <v>38</v>
      </c>
      <c r="F493" s="10" t="s">
        <v>26</v>
      </c>
      <c r="G493" s="10" t="n">
        <v>2</v>
      </c>
      <c r="H493" s="12" t="n">
        <v>280</v>
      </c>
      <c r="I493" s="12" t="n">
        <v>190</v>
      </c>
      <c r="J493" s="13" t="n">
        <f aca="false">G493*H493</f>
        <v>560</v>
      </c>
      <c r="K493" s="13" t="n">
        <f aca="false">J493-G493*I493</f>
        <v>180</v>
      </c>
    </row>
    <row r="494" customFormat="false" ht="15" hidden="false" customHeight="false" outlineLevel="0" collapsed="false">
      <c r="A494" s="10" t="s">
        <v>537</v>
      </c>
      <c r="B494" s="11" t="n">
        <v>45922</v>
      </c>
      <c r="C494" s="10" t="s">
        <v>36</v>
      </c>
      <c r="D494" s="10" t="s">
        <v>29</v>
      </c>
      <c r="E494" s="10" t="s">
        <v>33</v>
      </c>
      <c r="F494" s="10" t="s">
        <v>26</v>
      </c>
      <c r="G494" s="10" t="n">
        <v>4</v>
      </c>
      <c r="H494" s="12" t="n">
        <v>380</v>
      </c>
      <c r="I494" s="12" t="n">
        <v>260</v>
      </c>
      <c r="J494" s="13" t="n">
        <f aca="false">G494*H494</f>
        <v>1520</v>
      </c>
      <c r="K494" s="13" t="n">
        <f aca="false">J494-G494*I494</f>
        <v>480</v>
      </c>
    </row>
    <row r="495" customFormat="false" ht="15" hidden="false" customHeight="false" outlineLevel="0" collapsed="false">
      <c r="A495" s="10" t="s">
        <v>538</v>
      </c>
      <c r="B495" s="11" t="n">
        <v>45922</v>
      </c>
      <c r="C495" s="10" t="s">
        <v>55</v>
      </c>
      <c r="D495" s="10" t="s">
        <v>24</v>
      </c>
      <c r="E495" s="10" t="s">
        <v>38</v>
      </c>
      <c r="F495" s="10" t="s">
        <v>26</v>
      </c>
      <c r="G495" s="10" t="n">
        <v>4</v>
      </c>
      <c r="H495" s="12" t="n">
        <v>280</v>
      </c>
      <c r="I495" s="12" t="n">
        <v>190</v>
      </c>
      <c r="J495" s="13" t="n">
        <f aca="false">G495*H495</f>
        <v>1120</v>
      </c>
      <c r="K495" s="13" t="n">
        <f aca="false">J495-G495*I495</f>
        <v>360</v>
      </c>
    </row>
    <row r="496" customFormat="false" ht="15" hidden="false" customHeight="false" outlineLevel="0" collapsed="false">
      <c r="A496" s="10" t="s">
        <v>539</v>
      </c>
      <c r="B496" s="11" t="n">
        <v>45923</v>
      </c>
      <c r="C496" s="10" t="s">
        <v>49</v>
      </c>
      <c r="D496" s="10" t="s">
        <v>24</v>
      </c>
      <c r="E496" s="10" t="s">
        <v>30</v>
      </c>
      <c r="F496" s="10" t="s">
        <v>34</v>
      </c>
      <c r="G496" s="10" t="n">
        <v>3</v>
      </c>
      <c r="H496" s="12" t="n">
        <v>250</v>
      </c>
      <c r="I496" s="12" t="n">
        <v>170</v>
      </c>
      <c r="J496" s="13" t="n">
        <f aca="false">G496*H496</f>
        <v>750</v>
      </c>
      <c r="K496" s="13" t="n">
        <f aca="false">J496-G496*I496</f>
        <v>240</v>
      </c>
    </row>
    <row r="497" customFormat="false" ht="15" hidden="false" customHeight="false" outlineLevel="0" collapsed="false">
      <c r="A497" s="10" t="s">
        <v>540</v>
      </c>
      <c r="B497" s="11" t="n">
        <v>45929</v>
      </c>
      <c r="C497" s="10" t="s">
        <v>51</v>
      </c>
      <c r="D497" s="10" t="s">
        <v>42</v>
      </c>
      <c r="E497" s="10" t="s">
        <v>38</v>
      </c>
      <c r="F497" s="10" t="s">
        <v>26</v>
      </c>
      <c r="G497" s="10" t="n">
        <v>2</v>
      </c>
      <c r="H497" s="12" t="n">
        <v>130</v>
      </c>
      <c r="I497" s="12" t="n">
        <v>60</v>
      </c>
      <c r="J497" s="13" t="n">
        <f aca="false">G497*H497</f>
        <v>260</v>
      </c>
      <c r="K497" s="13" t="n">
        <f aca="false">J497-G497*I497</f>
        <v>140</v>
      </c>
    </row>
    <row r="498" customFormat="false" ht="15" hidden="false" customHeight="false" outlineLevel="0" collapsed="false">
      <c r="A498" s="10" t="s">
        <v>541</v>
      </c>
      <c r="B498" s="11" t="n">
        <v>45931</v>
      </c>
      <c r="C498" s="10" t="s">
        <v>84</v>
      </c>
      <c r="D498" s="10" t="s">
        <v>42</v>
      </c>
      <c r="E498" s="10" t="s">
        <v>38</v>
      </c>
      <c r="F498" s="10" t="s">
        <v>26</v>
      </c>
      <c r="G498" s="10" t="n">
        <v>4</v>
      </c>
      <c r="H498" s="12" t="n">
        <v>480</v>
      </c>
      <c r="I498" s="12" t="n">
        <v>220</v>
      </c>
      <c r="J498" s="13" t="n">
        <f aca="false">G498*H498</f>
        <v>1920</v>
      </c>
      <c r="K498" s="13" t="n">
        <f aca="false">J498-G498*I498</f>
        <v>1040</v>
      </c>
    </row>
    <row r="499" customFormat="false" ht="15" hidden="false" customHeight="false" outlineLevel="0" collapsed="false">
      <c r="A499" s="10" t="s">
        <v>542</v>
      </c>
      <c r="B499" s="11" t="n">
        <v>45932</v>
      </c>
      <c r="C499" s="10" t="s">
        <v>23</v>
      </c>
      <c r="D499" s="10" t="s">
        <v>24</v>
      </c>
      <c r="E499" s="10" t="s">
        <v>38</v>
      </c>
      <c r="F499" s="10" t="s">
        <v>34</v>
      </c>
      <c r="G499" s="10" t="n">
        <v>1</v>
      </c>
      <c r="H499" s="12" t="n">
        <v>260</v>
      </c>
      <c r="I499" s="12" t="n">
        <v>180</v>
      </c>
      <c r="J499" s="13" t="n">
        <f aca="false">G499*H499</f>
        <v>260</v>
      </c>
      <c r="K499" s="13" t="n">
        <f aca="false">J499-G499*I499</f>
        <v>80</v>
      </c>
    </row>
    <row r="500" customFormat="false" ht="15" hidden="false" customHeight="false" outlineLevel="0" collapsed="false">
      <c r="A500" s="10" t="s">
        <v>543</v>
      </c>
      <c r="B500" s="11" t="n">
        <v>45934</v>
      </c>
      <c r="C500" s="10" t="s">
        <v>67</v>
      </c>
      <c r="D500" s="10" t="s">
        <v>68</v>
      </c>
      <c r="E500" s="10" t="s">
        <v>25</v>
      </c>
      <c r="F500" s="10" t="s">
        <v>34</v>
      </c>
      <c r="G500" s="10" t="n">
        <v>2</v>
      </c>
      <c r="H500" s="12" t="n">
        <v>2600</v>
      </c>
      <c r="I500" s="12" t="n">
        <v>2100</v>
      </c>
      <c r="J500" s="13" t="n">
        <f aca="false">G500*H500</f>
        <v>5200</v>
      </c>
      <c r="K500" s="13" t="n">
        <f aca="false">J500-G500*I500</f>
        <v>1000</v>
      </c>
    </row>
    <row r="501" customFormat="false" ht="15" hidden="false" customHeight="false" outlineLevel="0" collapsed="false">
      <c r="A501" s="10" t="s">
        <v>544</v>
      </c>
      <c r="B501" s="11" t="n">
        <v>45936</v>
      </c>
      <c r="C501" s="10" t="s">
        <v>84</v>
      </c>
      <c r="D501" s="10" t="s">
        <v>42</v>
      </c>
      <c r="E501" s="10" t="s">
        <v>25</v>
      </c>
      <c r="F501" s="10" t="s">
        <v>26</v>
      </c>
      <c r="G501" s="10" t="n">
        <v>4</v>
      </c>
      <c r="H501" s="12" t="n">
        <v>480</v>
      </c>
      <c r="I501" s="12" t="n">
        <v>220</v>
      </c>
      <c r="J501" s="13" t="n">
        <f aca="false">G501*H501</f>
        <v>1920</v>
      </c>
      <c r="K501" s="13" t="n">
        <f aca="false">J501-G501*I501</f>
        <v>1040</v>
      </c>
    </row>
    <row r="502" customFormat="false" ht="15" hidden="false" customHeight="false" outlineLevel="0" collapsed="false">
      <c r="A502" s="10" t="s">
        <v>545</v>
      </c>
      <c r="B502" s="11" t="n">
        <v>45937</v>
      </c>
      <c r="C502" s="10" t="s">
        <v>23</v>
      </c>
      <c r="D502" s="10" t="s">
        <v>24</v>
      </c>
      <c r="E502" s="10" t="s">
        <v>57</v>
      </c>
      <c r="F502" s="10" t="s">
        <v>34</v>
      </c>
      <c r="G502" s="10" t="n">
        <v>2</v>
      </c>
      <c r="H502" s="12" t="n">
        <v>260</v>
      </c>
      <c r="I502" s="12" t="n">
        <v>180</v>
      </c>
      <c r="J502" s="13" t="n">
        <f aca="false">G502*H502</f>
        <v>520</v>
      </c>
      <c r="K502" s="13" t="n">
        <f aca="false">J502-G502*I502</f>
        <v>160</v>
      </c>
    </row>
    <row r="503" customFormat="false" ht="15" hidden="false" customHeight="false" outlineLevel="0" collapsed="false">
      <c r="A503" s="10" t="s">
        <v>546</v>
      </c>
      <c r="B503" s="11" t="n">
        <v>45939</v>
      </c>
      <c r="C503" s="10" t="s">
        <v>41</v>
      </c>
      <c r="D503" s="10" t="s">
        <v>42</v>
      </c>
      <c r="E503" s="10" t="s">
        <v>25</v>
      </c>
      <c r="F503" s="10" t="s">
        <v>34</v>
      </c>
      <c r="G503" s="10" t="n">
        <v>2</v>
      </c>
      <c r="H503" s="12" t="n">
        <v>45</v>
      </c>
      <c r="I503" s="12" t="n">
        <v>20</v>
      </c>
      <c r="J503" s="13" t="n">
        <f aca="false">G503*H503</f>
        <v>90</v>
      </c>
      <c r="K503" s="13" t="n">
        <f aca="false">J503-G503*I503</f>
        <v>50</v>
      </c>
    </row>
    <row r="504" customFormat="false" ht="15" hidden="false" customHeight="false" outlineLevel="0" collapsed="false">
      <c r="A504" s="10" t="s">
        <v>547</v>
      </c>
      <c r="B504" s="11" t="n">
        <v>45940</v>
      </c>
      <c r="C504" s="10" t="s">
        <v>101</v>
      </c>
      <c r="D504" s="10" t="s">
        <v>68</v>
      </c>
      <c r="E504" s="10" t="s">
        <v>38</v>
      </c>
      <c r="F504" s="10" t="s">
        <v>34</v>
      </c>
      <c r="G504" s="10" t="n">
        <v>2</v>
      </c>
      <c r="H504" s="12" t="n">
        <v>4200</v>
      </c>
      <c r="I504" s="12" t="n">
        <v>3300</v>
      </c>
      <c r="J504" s="13" t="n">
        <f aca="false">G504*H504</f>
        <v>8400</v>
      </c>
      <c r="K504" s="13" t="n">
        <f aca="false">J504-G504*I504</f>
        <v>1800</v>
      </c>
    </row>
    <row r="505" customFormat="false" ht="15" hidden="false" customHeight="false" outlineLevel="0" collapsed="false">
      <c r="A505" s="10" t="s">
        <v>548</v>
      </c>
      <c r="B505" s="11" t="n">
        <v>45940</v>
      </c>
      <c r="C505" s="10" t="s">
        <v>55</v>
      </c>
      <c r="D505" s="10" t="s">
        <v>24</v>
      </c>
      <c r="E505" s="10" t="s">
        <v>38</v>
      </c>
      <c r="F505" s="10" t="s">
        <v>34</v>
      </c>
      <c r="G505" s="10" t="n">
        <v>1</v>
      </c>
      <c r="H505" s="12" t="n">
        <v>280</v>
      </c>
      <c r="I505" s="12" t="n">
        <v>190</v>
      </c>
      <c r="J505" s="13" t="n">
        <f aca="false">G505*H505</f>
        <v>280</v>
      </c>
      <c r="K505" s="13" t="n">
        <f aca="false">J505-G505*I505</f>
        <v>90</v>
      </c>
    </row>
    <row r="506" customFormat="false" ht="15" hidden="false" customHeight="false" outlineLevel="0" collapsed="false">
      <c r="A506" s="10" t="s">
        <v>549</v>
      </c>
      <c r="B506" s="11" t="n">
        <v>45942</v>
      </c>
      <c r="C506" s="10" t="s">
        <v>36</v>
      </c>
      <c r="D506" s="10" t="s">
        <v>29</v>
      </c>
      <c r="E506" s="10" t="s">
        <v>38</v>
      </c>
      <c r="F506" s="10" t="s">
        <v>34</v>
      </c>
      <c r="G506" s="10" t="n">
        <v>1</v>
      </c>
      <c r="H506" s="12" t="n">
        <v>380</v>
      </c>
      <c r="I506" s="12" t="n">
        <v>260</v>
      </c>
      <c r="J506" s="13" t="n">
        <f aca="false">G506*H506</f>
        <v>380</v>
      </c>
      <c r="K506" s="13" t="n">
        <f aca="false">J506-G506*I506</f>
        <v>120</v>
      </c>
    </row>
    <row r="507" customFormat="false" ht="15" hidden="false" customHeight="false" outlineLevel="0" collapsed="false">
      <c r="A507" s="10" t="s">
        <v>550</v>
      </c>
      <c r="B507" s="11" t="n">
        <v>45943</v>
      </c>
      <c r="C507" s="10" t="s">
        <v>101</v>
      </c>
      <c r="D507" s="10" t="s">
        <v>68</v>
      </c>
      <c r="E507" s="10" t="s">
        <v>33</v>
      </c>
      <c r="F507" s="10" t="s">
        <v>26</v>
      </c>
      <c r="G507" s="10" t="n">
        <v>1</v>
      </c>
      <c r="H507" s="12" t="n">
        <v>4200</v>
      </c>
      <c r="I507" s="12" t="n">
        <v>3300</v>
      </c>
      <c r="J507" s="13" t="n">
        <f aca="false">G507*H507</f>
        <v>4200</v>
      </c>
      <c r="K507" s="13" t="n">
        <f aca="false">J507-G507*I507</f>
        <v>900</v>
      </c>
    </row>
    <row r="508" customFormat="false" ht="15" hidden="false" customHeight="false" outlineLevel="0" collapsed="false">
      <c r="A508" s="10" t="s">
        <v>551</v>
      </c>
      <c r="B508" s="11" t="n">
        <v>45943</v>
      </c>
      <c r="C508" s="10" t="s">
        <v>23</v>
      </c>
      <c r="D508" s="10" t="s">
        <v>24</v>
      </c>
      <c r="E508" s="10" t="s">
        <v>38</v>
      </c>
      <c r="F508" s="10" t="s">
        <v>26</v>
      </c>
      <c r="G508" s="10" t="n">
        <v>1</v>
      </c>
      <c r="H508" s="12" t="n">
        <v>260</v>
      </c>
      <c r="I508" s="12" t="n">
        <v>180</v>
      </c>
      <c r="J508" s="13" t="n">
        <f aca="false">G508*H508</f>
        <v>260</v>
      </c>
      <c r="K508" s="13" t="n">
        <f aca="false">J508-G508*I508</f>
        <v>80</v>
      </c>
    </row>
    <row r="509" customFormat="false" ht="15" hidden="false" customHeight="false" outlineLevel="0" collapsed="false">
      <c r="A509" s="10" t="s">
        <v>552</v>
      </c>
      <c r="B509" s="11" t="n">
        <v>45949</v>
      </c>
      <c r="C509" s="10" t="s">
        <v>41</v>
      </c>
      <c r="D509" s="10" t="s">
        <v>42</v>
      </c>
      <c r="E509" s="10" t="s">
        <v>33</v>
      </c>
      <c r="F509" s="10" t="s">
        <v>26</v>
      </c>
      <c r="G509" s="10" t="n">
        <v>1</v>
      </c>
      <c r="H509" s="12" t="n">
        <v>45</v>
      </c>
      <c r="I509" s="12" t="n">
        <v>20</v>
      </c>
      <c r="J509" s="13" t="n">
        <f aca="false">G509*H509</f>
        <v>45</v>
      </c>
      <c r="K509" s="13" t="n">
        <f aca="false">J509-G509*I509</f>
        <v>25</v>
      </c>
    </row>
    <row r="510" customFormat="false" ht="15" hidden="false" customHeight="false" outlineLevel="0" collapsed="false">
      <c r="A510" s="10" t="s">
        <v>553</v>
      </c>
      <c r="B510" s="11" t="n">
        <v>45950</v>
      </c>
      <c r="C510" s="10" t="s">
        <v>28</v>
      </c>
      <c r="D510" s="10" t="s">
        <v>29</v>
      </c>
      <c r="E510" s="10" t="s">
        <v>25</v>
      </c>
      <c r="F510" s="10" t="s">
        <v>26</v>
      </c>
      <c r="G510" s="10" t="n">
        <v>4</v>
      </c>
      <c r="H510" s="12" t="n">
        <v>450</v>
      </c>
      <c r="I510" s="12" t="n">
        <v>280</v>
      </c>
      <c r="J510" s="13" t="n">
        <f aca="false">G510*H510</f>
        <v>1800</v>
      </c>
      <c r="K510" s="13" t="n">
        <f aca="false">J510-G510*I510</f>
        <v>680</v>
      </c>
    </row>
    <row r="511" customFormat="false" ht="15" hidden="false" customHeight="false" outlineLevel="0" collapsed="false">
      <c r="A511" s="10" t="s">
        <v>554</v>
      </c>
      <c r="B511" s="11" t="n">
        <v>45952</v>
      </c>
      <c r="C511" s="10" t="s">
        <v>84</v>
      </c>
      <c r="D511" s="10" t="s">
        <v>42</v>
      </c>
      <c r="E511" s="10" t="s">
        <v>33</v>
      </c>
      <c r="F511" s="10" t="s">
        <v>34</v>
      </c>
      <c r="G511" s="10" t="n">
        <v>4</v>
      </c>
      <c r="H511" s="12" t="n">
        <v>480</v>
      </c>
      <c r="I511" s="12" t="n">
        <v>220</v>
      </c>
      <c r="J511" s="13" t="n">
        <f aca="false">G511*H511</f>
        <v>1920</v>
      </c>
      <c r="K511" s="13" t="n">
        <f aca="false">J511-G511*I511</f>
        <v>1040</v>
      </c>
    </row>
    <row r="512" customFormat="false" ht="15" hidden="false" customHeight="false" outlineLevel="0" collapsed="false">
      <c r="A512" s="10" t="s">
        <v>555</v>
      </c>
      <c r="B512" s="11" t="n">
        <v>45952</v>
      </c>
      <c r="C512" s="10" t="s">
        <v>51</v>
      </c>
      <c r="D512" s="10" t="s">
        <v>42</v>
      </c>
      <c r="E512" s="10" t="s">
        <v>33</v>
      </c>
      <c r="F512" s="10" t="s">
        <v>34</v>
      </c>
      <c r="G512" s="10" t="n">
        <v>2</v>
      </c>
      <c r="H512" s="12" t="n">
        <v>130</v>
      </c>
      <c r="I512" s="12" t="n">
        <v>60</v>
      </c>
      <c r="J512" s="13" t="n">
        <f aca="false">G512*H512</f>
        <v>260</v>
      </c>
      <c r="K512" s="13" t="n">
        <f aca="false">J512-G512*I512</f>
        <v>140</v>
      </c>
    </row>
    <row r="513" customFormat="false" ht="15" hidden="false" customHeight="false" outlineLevel="0" collapsed="false">
      <c r="A513" s="10" t="s">
        <v>556</v>
      </c>
      <c r="B513" s="11" t="n">
        <v>45953</v>
      </c>
      <c r="C513" s="10" t="s">
        <v>49</v>
      </c>
      <c r="D513" s="10" t="s">
        <v>24</v>
      </c>
      <c r="E513" s="10" t="s">
        <v>33</v>
      </c>
      <c r="F513" s="10" t="s">
        <v>34</v>
      </c>
      <c r="G513" s="10" t="n">
        <v>2</v>
      </c>
      <c r="H513" s="12" t="n">
        <v>250</v>
      </c>
      <c r="I513" s="12" t="n">
        <v>170</v>
      </c>
      <c r="J513" s="13" t="n">
        <f aca="false">G513*H513</f>
        <v>500</v>
      </c>
      <c r="K513" s="13" t="n">
        <f aca="false">J513-G513*I513</f>
        <v>160</v>
      </c>
    </row>
    <row r="514" customFormat="false" ht="15" hidden="false" customHeight="false" outlineLevel="0" collapsed="false">
      <c r="A514" s="10" t="s">
        <v>557</v>
      </c>
      <c r="B514" s="11" t="n">
        <v>45954</v>
      </c>
      <c r="C514" s="10" t="s">
        <v>28</v>
      </c>
      <c r="D514" s="10" t="s">
        <v>29</v>
      </c>
      <c r="E514" s="10" t="s">
        <v>38</v>
      </c>
      <c r="F514" s="10" t="s">
        <v>26</v>
      </c>
      <c r="G514" s="10" t="n">
        <v>3</v>
      </c>
      <c r="H514" s="12" t="n">
        <v>450</v>
      </c>
      <c r="I514" s="12" t="n">
        <v>280</v>
      </c>
      <c r="J514" s="13" t="n">
        <f aca="false">G514*H514</f>
        <v>1350</v>
      </c>
      <c r="K514" s="13" t="n">
        <f aca="false">J514-G514*I514</f>
        <v>510</v>
      </c>
    </row>
    <row r="515" customFormat="false" ht="15" hidden="false" customHeight="false" outlineLevel="0" collapsed="false">
      <c r="A515" s="10" t="s">
        <v>558</v>
      </c>
      <c r="B515" s="11" t="n">
        <v>45955</v>
      </c>
      <c r="C515" s="10" t="s">
        <v>55</v>
      </c>
      <c r="D515" s="10" t="s">
        <v>24</v>
      </c>
      <c r="E515" s="10" t="s">
        <v>38</v>
      </c>
      <c r="F515" s="10" t="s">
        <v>34</v>
      </c>
      <c r="G515" s="10" t="n">
        <v>2</v>
      </c>
      <c r="H515" s="12" t="n">
        <v>280</v>
      </c>
      <c r="I515" s="12" t="n">
        <v>190</v>
      </c>
      <c r="J515" s="13" t="n">
        <f aca="false">G515*H515</f>
        <v>560</v>
      </c>
      <c r="K515" s="13" t="n">
        <f aca="false">J515-G515*I515</f>
        <v>180</v>
      </c>
    </row>
    <row r="516" customFormat="false" ht="15" hidden="false" customHeight="false" outlineLevel="0" collapsed="false">
      <c r="A516" s="10" t="s">
        <v>559</v>
      </c>
      <c r="B516" s="11" t="n">
        <v>45955</v>
      </c>
      <c r="C516" s="10" t="s">
        <v>41</v>
      </c>
      <c r="D516" s="10" t="s">
        <v>42</v>
      </c>
      <c r="E516" s="10" t="s">
        <v>33</v>
      </c>
      <c r="F516" s="10" t="s">
        <v>26</v>
      </c>
      <c r="G516" s="10" t="n">
        <v>1</v>
      </c>
      <c r="H516" s="12" t="n">
        <v>45</v>
      </c>
      <c r="I516" s="12" t="n">
        <v>20</v>
      </c>
      <c r="J516" s="13" t="n">
        <f aca="false">G516*H516</f>
        <v>45</v>
      </c>
      <c r="K516" s="13" t="n">
        <f aca="false">J516-G516*I516</f>
        <v>25</v>
      </c>
    </row>
    <row r="517" customFormat="false" ht="15" hidden="false" customHeight="false" outlineLevel="0" collapsed="false">
      <c r="A517" s="10" t="s">
        <v>560</v>
      </c>
      <c r="B517" s="11" t="n">
        <v>45955</v>
      </c>
      <c r="C517" s="10" t="s">
        <v>36</v>
      </c>
      <c r="D517" s="10" t="s">
        <v>29</v>
      </c>
      <c r="E517" s="10" t="s">
        <v>57</v>
      </c>
      <c r="F517" s="10" t="s">
        <v>34</v>
      </c>
      <c r="G517" s="10" t="n">
        <v>2</v>
      </c>
      <c r="H517" s="12" t="n">
        <v>380</v>
      </c>
      <c r="I517" s="12" t="n">
        <v>260</v>
      </c>
      <c r="J517" s="13" t="n">
        <f aca="false">G517*H517</f>
        <v>760</v>
      </c>
      <c r="K517" s="13" t="n">
        <f aca="false">J517-G517*I517</f>
        <v>240</v>
      </c>
    </row>
    <row r="518" customFormat="false" ht="15" hidden="false" customHeight="false" outlineLevel="0" collapsed="false">
      <c r="A518" s="10" t="s">
        <v>561</v>
      </c>
      <c r="B518" s="11" t="n">
        <v>45957</v>
      </c>
      <c r="C518" s="10" t="s">
        <v>51</v>
      </c>
      <c r="D518" s="10" t="s">
        <v>42</v>
      </c>
      <c r="E518" s="10" t="s">
        <v>33</v>
      </c>
      <c r="F518" s="10" t="s">
        <v>34</v>
      </c>
      <c r="G518" s="10" t="n">
        <v>2</v>
      </c>
      <c r="H518" s="12" t="n">
        <v>130</v>
      </c>
      <c r="I518" s="12" t="n">
        <v>60</v>
      </c>
      <c r="J518" s="13" t="n">
        <f aca="false">G518*H518</f>
        <v>260</v>
      </c>
      <c r="K518" s="13" t="n">
        <f aca="false">J518-G518*I518</f>
        <v>140</v>
      </c>
    </row>
    <row r="519" customFormat="false" ht="15" hidden="false" customHeight="false" outlineLevel="0" collapsed="false">
      <c r="A519" s="10" t="s">
        <v>562</v>
      </c>
      <c r="B519" s="11" t="n">
        <v>45958</v>
      </c>
      <c r="C519" s="10" t="s">
        <v>84</v>
      </c>
      <c r="D519" s="10" t="s">
        <v>42</v>
      </c>
      <c r="E519" s="10" t="s">
        <v>38</v>
      </c>
      <c r="F519" s="10" t="s">
        <v>34</v>
      </c>
      <c r="G519" s="10" t="n">
        <v>4</v>
      </c>
      <c r="H519" s="12" t="n">
        <v>480</v>
      </c>
      <c r="I519" s="12" t="n">
        <v>220</v>
      </c>
      <c r="J519" s="13" t="n">
        <f aca="false">G519*H519</f>
        <v>1920</v>
      </c>
      <c r="K519" s="13" t="n">
        <f aca="false">J519-G519*I519</f>
        <v>1040</v>
      </c>
    </row>
    <row r="520" customFormat="false" ht="15" hidden="false" customHeight="false" outlineLevel="0" collapsed="false">
      <c r="A520" s="10" t="s">
        <v>563</v>
      </c>
      <c r="B520" s="11" t="n">
        <v>45960</v>
      </c>
      <c r="C520" s="10" t="s">
        <v>36</v>
      </c>
      <c r="D520" s="10" t="s">
        <v>29</v>
      </c>
      <c r="E520" s="10" t="s">
        <v>33</v>
      </c>
      <c r="F520" s="10" t="s">
        <v>34</v>
      </c>
      <c r="G520" s="10" t="n">
        <v>1</v>
      </c>
      <c r="H520" s="12" t="n">
        <v>380</v>
      </c>
      <c r="I520" s="12" t="n">
        <v>260</v>
      </c>
      <c r="J520" s="13" t="n">
        <f aca="false">G520*H520</f>
        <v>380</v>
      </c>
      <c r="K520" s="13" t="n">
        <f aca="false">J520-G520*I520</f>
        <v>120</v>
      </c>
    </row>
    <row r="521" customFormat="false" ht="15" hidden="false" customHeight="false" outlineLevel="0" collapsed="false">
      <c r="A521" s="10" t="s">
        <v>564</v>
      </c>
      <c r="B521" s="11" t="n">
        <v>45963</v>
      </c>
      <c r="C521" s="10" t="s">
        <v>67</v>
      </c>
      <c r="D521" s="10" t="s">
        <v>68</v>
      </c>
      <c r="E521" s="10" t="s">
        <v>30</v>
      </c>
      <c r="F521" s="10" t="s">
        <v>26</v>
      </c>
      <c r="G521" s="10" t="n">
        <v>2</v>
      </c>
      <c r="H521" s="12" t="n">
        <v>2600</v>
      </c>
      <c r="I521" s="12" t="n">
        <v>2100</v>
      </c>
      <c r="J521" s="13" t="n">
        <f aca="false">G521*H521</f>
        <v>5200</v>
      </c>
      <c r="K521" s="13" t="n">
        <f aca="false">J521-G521*I521</f>
        <v>1000</v>
      </c>
    </row>
    <row r="522" customFormat="false" ht="15" hidden="false" customHeight="false" outlineLevel="0" collapsed="false">
      <c r="A522" s="10" t="s">
        <v>565</v>
      </c>
      <c r="B522" s="11" t="n">
        <v>45963</v>
      </c>
      <c r="C522" s="10" t="s">
        <v>32</v>
      </c>
      <c r="D522" s="10" t="s">
        <v>29</v>
      </c>
      <c r="E522" s="10" t="s">
        <v>30</v>
      </c>
      <c r="F522" s="10" t="s">
        <v>26</v>
      </c>
      <c r="G522" s="10" t="n">
        <v>1</v>
      </c>
      <c r="H522" s="12" t="n">
        <v>520</v>
      </c>
      <c r="I522" s="12" t="n">
        <v>300</v>
      </c>
      <c r="J522" s="13" t="n">
        <f aca="false">G522*H522</f>
        <v>520</v>
      </c>
      <c r="K522" s="13" t="n">
        <f aca="false">J522-G522*I522</f>
        <v>220</v>
      </c>
    </row>
    <row r="523" customFormat="false" ht="15" hidden="false" customHeight="false" outlineLevel="0" collapsed="false">
      <c r="A523" s="10" t="s">
        <v>566</v>
      </c>
      <c r="B523" s="11" t="n">
        <v>45963</v>
      </c>
      <c r="C523" s="10" t="s">
        <v>28</v>
      </c>
      <c r="D523" s="10" t="s">
        <v>29</v>
      </c>
      <c r="E523" s="10" t="s">
        <v>30</v>
      </c>
      <c r="F523" s="10" t="s">
        <v>26</v>
      </c>
      <c r="G523" s="10" t="n">
        <v>4</v>
      </c>
      <c r="H523" s="12" t="n">
        <v>450</v>
      </c>
      <c r="I523" s="12" t="n">
        <v>280</v>
      </c>
      <c r="J523" s="13" t="n">
        <f aca="false">G523*H523</f>
        <v>1800</v>
      </c>
      <c r="K523" s="13" t="n">
        <f aca="false">J523-G523*I523</f>
        <v>680</v>
      </c>
    </row>
    <row r="524" customFormat="false" ht="15" hidden="false" customHeight="false" outlineLevel="0" collapsed="false">
      <c r="A524" s="10" t="s">
        <v>567</v>
      </c>
      <c r="B524" s="11" t="n">
        <v>45964</v>
      </c>
      <c r="C524" s="10" t="s">
        <v>51</v>
      </c>
      <c r="D524" s="10" t="s">
        <v>42</v>
      </c>
      <c r="E524" s="10" t="s">
        <v>30</v>
      </c>
      <c r="F524" s="10" t="s">
        <v>26</v>
      </c>
      <c r="G524" s="10" t="n">
        <v>2</v>
      </c>
      <c r="H524" s="12" t="n">
        <v>130</v>
      </c>
      <c r="I524" s="12" t="n">
        <v>60</v>
      </c>
      <c r="J524" s="13" t="n">
        <f aca="false">G524*H524</f>
        <v>260</v>
      </c>
      <c r="K524" s="13" t="n">
        <f aca="false">J524-G524*I524</f>
        <v>140</v>
      </c>
    </row>
    <row r="525" customFormat="false" ht="15" hidden="false" customHeight="false" outlineLevel="0" collapsed="false">
      <c r="A525" s="10" t="s">
        <v>568</v>
      </c>
      <c r="B525" s="11" t="n">
        <v>45965</v>
      </c>
      <c r="C525" s="10" t="s">
        <v>36</v>
      </c>
      <c r="D525" s="10" t="s">
        <v>29</v>
      </c>
      <c r="E525" s="10" t="s">
        <v>38</v>
      </c>
      <c r="F525" s="10" t="s">
        <v>34</v>
      </c>
      <c r="G525" s="10" t="n">
        <v>3</v>
      </c>
      <c r="H525" s="12" t="n">
        <v>380</v>
      </c>
      <c r="I525" s="12" t="n">
        <v>260</v>
      </c>
      <c r="J525" s="13" t="n">
        <f aca="false">G525*H525</f>
        <v>1140</v>
      </c>
      <c r="K525" s="13" t="n">
        <f aca="false">J525-G525*I525</f>
        <v>360</v>
      </c>
    </row>
    <row r="526" customFormat="false" ht="15" hidden="false" customHeight="false" outlineLevel="0" collapsed="false">
      <c r="A526" s="10" t="s">
        <v>569</v>
      </c>
      <c r="B526" s="11" t="n">
        <v>45965</v>
      </c>
      <c r="C526" s="10" t="s">
        <v>36</v>
      </c>
      <c r="D526" s="10" t="s">
        <v>29</v>
      </c>
      <c r="E526" s="10" t="s">
        <v>25</v>
      </c>
      <c r="F526" s="10" t="s">
        <v>26</v>
      </c>
      <c r="G526" s="10" t="n">
        <v>2</v>
      </c>
      <c r="H526" s="12" t="n">
        <v>380</v>
      </c>
      <c r="I526" s="12" t="n">
        <v>260</v>
      </c>
      <c r="J526" s="13" t="n">
        <f aca="false">G526*H526</f>
        <v>760</v>
      </c>
      <c r="K526" s="13" t="n">
        <f aca="false">J526-G526*I526</f>
        <v>240</v>
      </c>
    </row>
    <row r="527" customFormat="false" ht="15" hidden="false" customHeight="false" outlineLevel="0" collapsed="false">
      <c r="A527" s="10" t="s">
        <v>570</v>
      </c>
      <c r="B527" s="11" t="n">
        <v>45965</v>
      </c>
      <c r="C527" s="10" t="s">
        <v>32</v>
      </c>
      <c r="D527" s="10" t="s">
        <v>29</v>
      </c>
      <c r="E527" s="10" t="s">
        <v>38</v>
      </c>
      <c r="F527" s="10" t="s">
        <v>34</v>
      </c>
      <c r="G527" s="10" t="n">
        <v>4</v>
      </c>
      <c r="H527" s="12" t="n">
        <v>520</v>
      </c>
      <c r="I527" s="12" t="n">
        <v>300</v>
      </c>
      <c r="J527" s="13" t="n">
        <f aca="false">G527*H527</f>
        <v>2080</v>
      </c>
      <c r="K527" s="13" t="n">
        <f aca="false">J527-G527*I527</f>
        <v>880</v>
      </c>
    </row>
    <row r="528" customFormat="false" ht="15" hidden="false" customHeight="false" outlineLevel="0" collapsed="false">
      <c r="A528" s="10" t="s">
        <v>571</v>
      </c>
      <c r="B528" s="11" t="n">
        <v>45966</v>
      </c>
      <c r="C528" s="10" t="s">
        <v>28</v>
      </c>
      <c r="D528" s="10" t="s">
        <v>29</v>
      </c>
      <c r="E528" s="10" t="s">
        <v>33</v>
      </c>
      <c r="F528" s="10" t="s">
        <v>34</v>
      </c>
      <c r="G528" s="10" t="n">
        <v>2</v>
      </c>
      <c r="H528" s="12" t="n">
        <v>450</v>
      </c>
      <c r="I528" s="12" t="n">
        <v>280</v>
      </c>
      <c r="J528" s="13" t="n">
        <f aca="false">G528*H528</f>
        <v>900</v>
      </c>
      <c r="K528" s="13" t="n">
        <f aca="false">J528-G528*I528</f>
        <v>340</v>
      </c>
    </row>
    <row r="529" customFormat="false" ht="15" hidden="false" customHeight="false" outlineLevel="0" collapsed="false">
      <c r="A529" s="10" t="s">
        <v>572</v>
      </c>
      <c r="B529" s="11" t="n">
        <v>45966</v>
      </c>
      <c r="C529" s="10" t="s">
        <v>41</v>
      </c>
      <c r="D529" s="10" t="s">
        <v>42</v>
      </c>
      <c r="E529" s="10" t="s">
        <v>30</v>
      </c>
      <c r="F529" s="10" t="s">
        <v>26</v>
      </c>
      <c r="G529" s="10" t="n">
        <v>1</v>
      </c>
      <c r="H529" s="12" t="n">
        <v>45</v>
      </c>
      <c r="I529" s="12" t="n">
        <v>20</v>
      </c>
      <c r="J529" s="13" t="n">
        <f aca="false">G529*H529</f>
        <v>45</v>
      </c>
      <c r="K529" s="13" t="n">
        <f aca="false">J529-G529*I529</f>
        <v>25</v>
      </c>
    </row>
    <row r="530" customFormat="false" ht="15" hidden="false" customHeight="false" outlineLevel="0" collapsed="false">
      <c r="A530" s="10" t="s">
        <v>573</v>
      </c>
      <c r="B530" s="11" t="n">
        <v>45966</v>
      </c>
      <c r="C530" s="10" t="s">
        <v>41</v>
      </c>
      <c r="D530" s="10" t="s">
        <v>42</v>
      </c>
      <c r="E530" s="10" t="s">
        <v>38</v>
      </c>
      <c r="F530" s="10" t="s">
        <v>26</v>
      </c>
      <c r="G530" s="10" t="n">
        <v>2</v>
      </c>
      <c r="H530" s="12" t="n">
        <v>45</v>
      </c>
      <c r="I530" s="12" t="n">
        <v>20</v>
      </c>
      <c r="J530" s="13" t="n">
        <f aca="false">G530*H530</f>
        <v>90</v>
      </c>
      <c r="K530" s="13" t="n">
        <f aca="false">J530-G530*I530</f>
        <v>50</v>
      </c>
    </row>
    <row r="531" customFormat="false" ht="15" hidden="false" customHeight="false" outlineLevel="0" collapsed="false">
      <c r="A531" s="10" t="s">
        <v>574</v>
      </c>
      <c r="B531" s="11" t="n">
        <v>45966</v>
      </c>
      <c r="C531" s="10" t="s">
        <v>55</v>
      </c>
      <c r="D531" s="10" t="s">
        <v>24</v>
      </c>
      <c r="E531" s="10" t="s">
        <v>38</v>
      </c>
      <c r="F531" s="10" t="s">
        <v>34</v>
      </c>
      <c r="G531" s="10" t="n">
        <v>1</v>
      </c>
      <c r="H531" s="12" t="n">
        <v>280</v>
      </c>
      <c r="I531" s="12" t="n">
        <v>190</v>
      </c>
      <c r="J531" s="13" t="n">
        <f aca="false">G531*H531</f>
        <v>280</v>
      </c>
      <c r="K531" s="13" t="n">
        <f aca="false">J531-G531*I531</f>
        <v>90</v>
      </c>
    </row>
    <row r="532" customFormat="false" ht="15" hidden="false" customHeight="false" outlineLevel="0" collapsed="false">
      <c r="A532" s="10" t="s">
        <v>575</v>
      </c>
      <c r="B532" s="11" t="n">
        <v>45968</v>
      </c>
      <c r="C532" s="10" t="s">
        <v>28</v>
      </c>
      <c r="D532" s="10" t="s">
        <v>29</v>
      </c>
      <c r="E532" s="10" t="s">
        <v>38</v>
      </c>
      <c r="F532" s="10" t="s">
        <v>26</v>
      </c>
      <c r="G532" s="10" t="n">
        <v>2</v>
      </c>
      <c r="H532" s="12" t="n">
        <v>450</v>
      </c>
      <c r="I532" s="12" t="n">
        <v>280</v>
      </c>
      <c r="J532" s="13" t="n">
        <f aca="false">G532*H532</f>
        <v>900</v>
      </c>
      <c r="K532" s="13" t="n">
        <f aca="false">J532-G532*I532</f>
        <v>340</v>
      </c>
    </row>
    <row r="533" customFormat="false" ht="15" hidden="false" customHeight="false" outlineLevel="0" collapsed="false">
      <c r="A533" s="10" t="s">
        <v>576</v>
      </c>
      <c r="B533" s="11" t="n">
        <v>45969</v>
      </c>
      <c r="C533" s="10" t="s">
        <v>49</v>
      </c>
      <c r="D533" s="10" t="s">
        <v>24</v>
      </c>
      <c r="E533" s="10" t="s">
        <v>33</v>
      </c>
      <c r="F533" s="10" t="s">
        <v>26</v>
      </c>
      <c r="G533" s="10" t="n">
        <v>3</v>
      </c>
      <c r="H533" s="12" t="n">
        <v>250</v>
      </c>
      <c r="I533" s="12" t="n">
        <v>170</v>
      </c>
      <c r="J533" s="13" t="n">
        <f aca="false">G533*H533</f>
        <v>750</v>
      </c>
      <c r="K533" s="13" t="n">
        <f aca="false">J533-G533*I533</f>
        <v>240</v>
      </c>
    </row>
    <row r="534" customFormat="false" ht="15" hidden="false" customHeight="false" outlineLevel="0" collapsed="false">
      <c r="A534" s="10" t="s">
        <v>577</v>
      </c>
      <c r="B534" s="11" t="n">
        <v>45971</v>
      </c>
      <c r="C534" s="10" t="s">
        <v>28</v>
      </c>
      <c r="D534" s="10" t="s">
        <v>29</v>
      </c>
      <c r="E534" s="10" t="s">
        <v>25</v>
      </c>
      <c r="F534" s="10" t="s">
        <v>34</v>
      </c>
      <c r="G534" s="10" t="n">
        <v>3</v>
      </c>
      <c r="H534" s="12" t="n">
        <v>450</v>
      </c>
      <c r="I534" s="12" t="n">
        <v>280</v>
      </c>
      <c r="J534" s="13" t="n">
        <f aca="false">G534*H534</f>
        <v>1350</v>
      </c>
      <c r="K534" s="13" t="n">
        <f aca="false">J534-G534*I534</f>
        <v>510</v>
      </c>
    </row>
    <row r="535" customFormat="false" ht="15" hidden="false" customHeight="false" outlineLevel="0" collapsed="false">
      <c r="A535" s="10" t="s">
        <v>578</v>
      </c>
      <c r="B535" s="11" t="n">
        <v>45972</v>
      </c>
      <c r="C535" s="10" t="s">
        <v>41</v>
      </c>
      <c r="D535" s="10" t="s">
        <v>42</v>
      </c>
      <c r="E535" s="10" t="s">
        <v>38</v>
      </c>
      <c r="F535" s="10" t="s">
        <v>26</v>
      </c>
      <c r="G535" s="10" t="n">
        <v>2</v>
      </c>
      <c r="H535" s="12" t="n">
        <v>45</v>
      </c>
      <c r="I535" s="12" t="n">
        <v>20</v>
      </c>
      <c r="J535" s="13" t="n">
        <f aca="false">G535*H535</f>
        <v>90</v>
      </c>
      <c r="K535" s="13" t="n">
        <f aca="false">J535-G535*I535</f>
        <v>50</v>
      </c>
    </row>
    <row r="536" customFormat="false" ht="15" hidden="false" customHeight="false" outlineLevel="0" collapsed="false">
      <c r="A536" s="10" t="s">
        <v>579</v>
      </c>
      <c r="B536" s="11" t="n">
        <v>45972</v>
      </c>
      <c r="C536" s="10" t="s">
        <v>51</v>
      </c>
      <c r="D536" s="10" t="s">
        <v>42</v>
      </c>
      <c r="E536" s="10" t="s">
        <v>38</v>
      </c>
      <c r="F536" s="10" t="s">
        <v>26</v>
      </c>
      <c r="G536" s="10" t="n">
        <v>4</v>
      </c>
      <c r="H536" s="12" t="n">
        <v>130</v>
      </c>
      <c r="I536" s="12" t="n">
        <v>60</v>
      </c>
      <c r="J536" s="13" t="n">
        <f aca="false">G536*H536</f>
        <v>520</v>
      </c>
      <c r="K536" s="13" t="n">
        <f aca="false">J536-G536*I536</f>
        <v>280</v>
      </c>
    </row>
    <row r="537" customFormat="false" ht="15" hidden="false" customHeight="false" outlineLevel="0" collapsed="false">
      <c r="A537" s="10" t="s">
        <v>580</v>
      </c>
      <c r="B537" s="11" t="n">
        <v>45975</v>
      </c>
      <c r="C537" s="10" t="s">
        <v>23</v>
      </c>
      <c r="D537" s="10" t="s">
        <v>24</v>
      </c>
      <c r="E537" s="10" t="s">
        <v>38</v>
      </c>
      <c r="F537" s="10" t="s">
        <v>26</v>
      </c>
      <c r="G537" s="10" t="n">
        <v>4</v>
      </c>
      <c r="H537" s="12" t="n">
        <v>260</v>
      </c>
      <c r="I537" s="12" t="n">
        <v>180</v>
      </c>
      <c r="J537" s="13" t="n">
        <f aca="false">G537*H537</f>
        <v>1040</v>
      </c>
      <c r="K537" s="13" t="n">
        <f aca="false">J537-G537*I537</f>
        <v>320</v>
      </c>
    </row>
    <row r="538" customFormat="false" ht="15" hidden="false" customHeight="false" outlineLevel="0" collapsed="false">
      <c r="A538" s="10" t="s">
        <v>581</v>
      </c>
      <c r="B538" s="11" t="n">
        <v>45976</v>
      </c>
      <c r="C538" s="10" t="s">
        <v>32</v>
      </c>
      <c r="D538" s="10" t="s">
        <v>29</v>
      </c>
      <c r="E538" s="10" t="s">
        <v>30</v>
      </c>
      <c r="F538" s="10" t="s">
        <v>26</v>
      </c>
      <c r="G538" s="10" t="n">
        <v>4</v>
      </c>
      <c r="H538" s="12" t="n">
        <v>520</v>
      </c>
      <c r="I538" s="12" t="n">
        <v>300</v>
      </c>
      <c r="J538" s="13" t="n">
        <f aca="false">G538*H538</f>
        <v>2080</v>
      </c>
      <c r="K538" s="13" t="n">
        <f aca="false">J538-G538*I538</f>
        <v>880</v>
      </c>
    </row>
    <row r="539" customFormat="false" ht="15" hidden="false" customHeight="false" outlineLevel="0" collapsed="false">
      <c r="A539" s="10" t="s">
        <v>582</v>
      </c>
      <c r="B539" s="11" t="n">
        <v>45977</v>
      </c>
      <c r="C539" s="10" t="s">
        <v>84</v>
      </c>
      <c r="D539" s="10" t="s">
        <v>42</v>
      </c>
      <c r="E539" s="10" t="s">
        <v>30</v>
      </c>
      <c r="F539" s="10" t="s">
        <v>26</v>
      </c>
      <c r="G539" s="10" t="n">
        <v>1</v>
      </c>
      <c r="H539" s="12" t="n">
        <v>480</v>
      </c>
      <c r="I539" s="12" t="n">
        <v>220</v>
      </c>
      <c r="J539" s="13" t="n">
        <f aca="false">G539*H539</f>
        <v>480</v>
      </c>
      <c r="K539" s="13" t="n">
        <f aca="false">J539-G539*I539</f>
        <v>260</v>
      </c>
    </row>
    <row r="540" customFormat="false" ht="15" hidden="false" customHeight="false" outlineLevel="0" collapsed="false">
      <c r="A540" s="10" t="s">
        <v>583</v>
      </c>
      <c r="B540" s="11" t="n">
        <v>45978</v>
      </c>
      <c r="C540" s="10" t="s">
        <v>49</v>
      </c>
      <c r="D540" s="10" t="s">
        <v>24</v>
      </c>
      <c r="E540" s="10" t="s">
        <v>30</v>
      </c>
      <c r="F540" s="10" t="s">
        <v>26</v>
      </c>
      <c r="G540" s="10" t="n">
        <v>3</v>
      </c>
      <c r="H540" s="12" t="n">
        <v>250</v>
      </c>
      <c r="I540" s="12" t="n">
        <v>170</v>
      </c>
      <c r="J540" s="13" t="n">
        <f aca="false">G540*H540</f>
        <v>750</v>
      </c>
      <c r="K540" s="13" t="n">
        <f aca="false">J540-G540*I540</f>
        <v>240</v>
      </c>
    </row>
    <row r="541" customFormat="false" ht="15" hidden="false" customHeight="false" outlineLevel="0" collapsed="false">
      <c r="A541" s="10" t="s">
        <v>584</v>
      </c>
      <c r="B541" s="11" t="n">
        <v>45978</v>
      </c>
      <c r="C541" s="10" t="s">
        <v>101</v>
      </c>
      <c r="D541" s="10" t="s">
        <v>68</v>
      </c>
      <c r="E541" s="10" t="s">
        <v>25</v>
      </c>
      <c r="F541" s="10" t="s">
        <v>26</v>
      </c>
      <c r="G541" s="10" t="n">
        <v>1</v>
      </c>
      <c r="H541" s="12" t="n">
        <v>4200</v>
      </c>
      <c r="I541" s="12" t="n">
        <v>3300</v>
      </c>
      <c r="J541" s="13" t="n">
        <f aca="false">G541*H541</f>
        <v>4200</v>
      </c>
      <c r="K541" s="13" t="n">
        <f aca="false">J541-G541*I541</f>
        <v>900</v>
      </c>
    </row>
    <row r="542" customFormat="false" ht="15" hidden="false" customHeight="false" outlineLevel="0" collapsed="false">
      <c r="A542" s="10" t="s">
        <v>585</v>
      </c>
      <c r="B542" s="11" t="n">
        <v>45979</v>
      </c>
      <c r="C542" s="10" t="s">
        <v>51</v>
      </c>
      <c r="D542" s="10" t="s">
        <v>42</v>
      </c>
      <c r="E542" s="10" t="s">
        <v>38</v>
      </c>
      <c r="F542" s="10" t="s">
        <v>26</v>
      </c>
      <c r="G542" s="10" t="n">
        <v>3</v>
      </c>
      <c r="H542" s="12" t="n">
        <v>130</v>
      </c>
      <c r="I542" s="12" t="n">
        <v>60</v>
      </c>
      <c r="J542" s="13" t="n">
        <f aca="false">G542*H542</f>
        <v>390</v>
      </c>
      <c r="K542" s="13" t="n">
        <f aca="false">J542-G542*I542</f>
        <v>210</v>
      </c>
    </row>
    <row r="543" customFormat="false" ht="15" hidden="false" customHeight="false" outlineLevel="0" collapsed="false">
      <c r="A543" s="10" t="s">
        <v>586</v>
      </c>
      <c r="B543" s="11" t="n">
        <v>45979</v>
      </c>
      <c r="C543" s="10" t="s">
        <v>53</v>
      </c>
      <c r="D543" s="10" t="s">
        <v>24</v>
      </c>
      <c r="E543" s="10" t="s">
        <v>25</v>
      </c>
      <c r="F543" s="10" t="s">
        <v>34</v>
      </c>
      <c r="G543" s="10" t="n">
        <v>2</v>
      </c>
      <c r="H543" s="12" t="n">
        <v>300</v>
      </c>
      <c r="I543" s="12" t="n">
        <v>200</v>
      </c>
      <c r="J543" s="13" t="n">
        <f aca="false">G543*H543</f>
        <v>600</v>
      </c>
      <c r="K543" s="13" t="n">
        <f aca="false">J543-G543*I543</f>
        <v>200</v>
      </c>
    </row>
    <row r="544" customFormat="false" ht="15" hidden="false" customHeight="false" outlineLevel="0" collapsed="false">
      <c r="A544" s="10" t="s">
        <v>587</v>
      </c>
      <c r="B544" s="11" t="n">
        <v>45981</v>
      </c>
      <c r="C544" s="10" t="s">
        <v>53</v>
      </c>
      <c r="D544" s="10" t="s">
        <v>24</v>
      </c>
      <c r="E544" s="10" t="s">
        <v>38</v>
      </c>
      <c r="F544" s="10" t="s">
        <v>34</v>
      </c>
      <c r="G544" s="10" t="n">
        <v>2</v>
      </c>
      <c r="H544" s="12" t="n">
        <v>300</v>
      </c>
      <c r="I544" s="12" t="n">
        <v>200</v>
      </c>
      <c r="J544" s="13" t="n">
        <f aca="false">G544*H544</f>
        <v>600</v>
      </c>
      <c r="K544" s="13" t="n">
        <f aca="false">J544-G544*I544</f>
        <v>200</v>
      </c>
    </row>
    <row r="545" customFormat="false" ht="15" hidden="false" customHeight="false" outlineLevel="0" collapsed="false">
      <c r="A545" s="10" t="s">
        <v>588</v>
      </c>
      <c r="B545" s="11" t="n">
        <v>45981</v>
      </c>
      <c r="C545" s="10" t="s">
        <v>36</v>
      </c>
      <c r="D545" s="10" t="s">
        <v>29</v>
      </c>
      <c r="E545" s="10" t="s">
        <v>38</v>
      </c>
      <c r="F545" s="10" t="s">
        <v>26</v>
      </c>
      <c r="G545" s="10" t="n">
        <v>2</v>
      </c>
      <c r="H545" s="12" t="n">
        <v>380</v>
      </c>
      <c r="I545" s="12" t="n">
        <v>260</v>
      </c>
      <c r="J545" s="13" t="n">
        <f aca="false">G545*H545</f>
        <v>760</v>
      </c>
      <c r="K545" s="13" t="n">
        <f aca="false">J545-G545*I545</f>
        <v>240</v>
      </c>
    </row>
    <row r="546" customFormat="false" ht="15" hidden="false" customHeight="false" outlineLevel="0" collapsed="false">
      <c r="A546" s="10" t="s">
        <v>589</v>
      </c>
      <c r="B546" s="11" t="n">
        <v>45982</v>
      </c>
      <c r="C546" s="10" t="s">
        <v>23</v>
      </c>
      <c r="D546" s="10" t="s">
        <v>24</v>
      </c>
      <c r="E546" s="10" t="s">
        <v>38</v>
      </c>
      <c r="F546" s="10" t="s">
        <v>26</v>
      </c>
      <c r="G546" s="10" t="n">
        <v>4</v>
      </c>
      <c r="H546" s="12" t="n">
        <v>260</v>
      </c>
      <c r="I546" s="12" t="n">
        <v>180</v>
      </c>
      <c r="J546" s="13" t="n">
        <f aca="false">G546*H546</f>
        <v>1040</v>
      </c>
      <c r="K546" s="13" t="n">
        <f aca="false">J546-G546*I546</f>
        <v>320</v>
      </c>
    </row>
    <row r="547" customFormat="false" ht="15" hidden="false" customHeight="false" outlineLevel="0" collapsed="false">
      <c r="A547" s="10" t="s">
        <v>590</v>
      </c>
      <c r="B547" s="11" t="n">
        <v>45983</v>
      </c>
      <c r="C547" s="10" t="s">
        <v>55</v>
      </c>
      <c r="D547" s="10" t="s">
        <v>24</v>
      </c>
      <c r="E547" s="10" t="s">
        <v>38</v>
      </c>
      <c r="F547" s="10" t="s">
        <v>34</v>
      </c>
      <c r="G547" s="10" t="n">
        <v>1</v>
      </c>
      <c r="H547" s="12" t="n">
        <v>280</v>
      </c>
      <c r="I547" s="12" t="n">
        <v>190</v>
      </c>
      <c r="J547" s="13" t="n">
        <f aca="false">G547*H547</f>
        <v>280</v>
      </c>
      <c r="K547" s="13" t="n">
        <f aca="false">J547-G547*I547</f>
        <v>90</v>
      </c>
    </row>
    <row r="548" customFormat="false" ht="15" hidden="false" customHeight="false" outlineLevel="0" collapsed="false">
      <c r="A548" s="10" t="s">
        <v>591</v>
      </c>
      <c r="B548" s="11" t="n">
        <v>45985</v>
      </c>
      <c r="C548" s="10" t="s">
        <v>49</v>
      </c>
      <c r="D548" s="10" t="s">
        <v>24</v>
      </c>
      <c r="E548" s="10" t="s">
        <v>25</v>
      </c>
      <c r="F548" s="10" t="s">
        <v>34</v>
      </c>
      <c r="G548" s="10" t="n">
        <v>1</v>
      </c>
      <c r="H548" s="12" t="n">
        <v>250</v>
      </c>
      <c r="I548" s="12" t="n">
        <v>170</v>
      </c>
      <c r="J548" s="13" t="n">
        <f aca="false">G548*H548</f>
        <v>250</v>
      </c>
      <c r="K548" s="13" t="n">
        <f aca="false">J548-G548*I548</f>
        <v>80</v>
      </c>
    </row>
    <row r="549" customFormat="false" ht="15" hidden="false" customHeight="false" outlineLevel="0" collapsed="false">
      <c r="A549" s="10" t="s">
        <v>592</v>
      </c>
      <c r="B549" s="11" t="n">
        <v>45986</v>
      </c>
      <c r="C549" s="10" t="s">
        <v>41</v>
      </c>
      <c r="D549" s="10" t="s">
        <v>42</v>
      </c>
      <c r="E549" s="10" t="s">
        <v>30</v>
      </c>
      <c r="F549" s="10" t="s">
        <v>26</v>
      </c>
      <c r="G549" s="10" t="n">
        <v>4</v>
      </c>
      <c r="H549" s="12" t="n">
        <v>45</v>
      </c>
      <c r="I549" s="12" t="n">
        <v>20</v>
      </c>
      <c r="J549" s="13" t="n">
        <f aca="false">G549*H549</f>
        <v>180</v>
      </c>
      <c r="K549" s="13" t="n">
        <f aca="false">J549-G549*I549</f>
        <v>100</v>
      </c>
    </row>
    <row r="550" customFormat="false" ht="15" hidden="false" customHeight="false" outlineLevel="0" collapsed="false">
      <c r="A550" s="10" t="s">
        <v>593</v>
      </c>
      <c r="B550" s="11" t="n">
        <v>45987</v>
      </c>
      <c r="C550" s="10" t="s">
        <v>28</v>
      </c>
      <c r="D550" s="10" t="s">
        <v>29</v>
      </c>
      <c r="E550" s="10" t="s">
        <v>38</v>
      </c>
      <c r="F550" s="10" t="s">
        <v>34</v>
      </c>
      <c r="G550" s="10" t="n">
        <v>4</v>
      </c>
      <c r="H550" s="12" t="n">
        <v>450</v>
      </c>
      <c r="I550" s="12" t="n">
        <v>280</v>
      </c>
      <c r="J550" s="13" t="n">
        <f aca="false">G550*H550</f>
        <v>1800</v>
      </c>
      <c r="K550" s="13" t="n">
        <f aca="false">J550-G550*I550</f>
        <v>680</v>
      </c>
    </row>
    <row r="551" customFormat="false" ht="15" hidden="false" customHeight="false" outlineLevel="0" collapsed="false">
      <c r="A551" s="10" t="s">
        <v>594</v>
      </c>
      <c r="B551" s="11" t="n">
        <v>45987</v>
      </c>
      <c r="C551" s="10" t="s">
        <v>49</v>
      </c>
      <c r="D551" s="10" t="s">
        <v>24</v>
      </c>
      <c r="E551" s="10" t="s">
        <v>38</v>
      </c>
      <c r="F551" s="10" t="s">
        <v>26</v>
      </c>
      <c r="G551" s="10" t="n">
        <v>2</v>
      </c>
      <c r="H551" s="12" t="n">
        <v>250</v>
      </c>
      <c r="I551" s="12" t="n">
        <v>170</v>
      </c>
      <c r="J551" s="13" t="n">
        <f aca="false">G551*H551</f>
        <v>500</v>
      </c>
      <c r="K551" s="13" t="n">
        <f aca="false">J551-G551*I551</f>
        <v>160</v>
      </c>
    </row>
    <row r="552" customFormat="false" ht="15" hidden="false" customHeight="false" outlineLevel="0" collapsed="false">
      <c r="A552" s="10" t="s">
        <v>595</v>
      </c>
      <c r="B552" s="11" t="n">
        <v>45987</v>
      </c>
      <c r="C552" s="10" t="s">
        <v>53</v>
      </c>
      <c r="D552" s="10" t="s">
        <v>24</v>
      </c>
      <c r="E552" s="10" t="s">
        <v>30</v>
      </c>
      <c r="F552" s="10" t="s">
        <v>34</v>
      </c>
      <c r="G552" s="10" t="n">
        <v>1</v>
      </c>
      <c r="H552" s="12" t="n">
        <v>300</v>
      </c>
      <c r="I552" s="12" t="n">
        <v>200</v>
      </c>
      <c r="J552" s="13" t="n">
        <f aca="false">G552*H552</f>
        <v>300</v>
      </c>
      <c r="K552" s="13" t="n">
        <f aca="false">J552-G552*I552</f>
        <v>100</v>
      </c>
    </row>
    <row r="553" customFormat="false" ht="15" hidden="false" customHeight="false" outlineLevel="0" collapsed="false">
      <c r="A553" s="10" t="s">
        <v>596</v>
      </c>
      <c r="B553" s="11" t="n">
        <v>45987</v>
      </c>
      <c r="C553" s="10" t="s">
        <v>49</v>
      </c>
      <c r="D553" s="10" t="s">
        <v>24</v>
      </c>
      <c r="E553" s="10" t="s">
        <v>38</v>
      </c>
      <c r="F553" s="10" t="s">
        <v>26</v>
      </c>
      <c r="G553" s="10" t="n">
        <v>2</v>
      </c>
      <c r="H553" s="12" t="n">
        <v>250</v>
      </c>
      <c r="I553" s="12" t="n">
        <v>170</v>
      </c>
      <c r="J553" s="13" t="n">
        <f aca="false">G553*H553</f>
        <v>500</v>
      </c>
      <c r="K553" s="13" t="n">
        <f aca="false">J553-G553*I553</f>
        <v>160</v>
      </c>
    </row>
    <row r="554" customFormat="false" ht="15" hidden="false" customHeight="false" outlineLevel="0" collapsed="false">
      <c r="A554" s="10" t="s">
        <v>597</v>
      </c>
      <c r="B554" s="11" t="n">
        <v>45988</v>
      </c>
      <c r="C554" s="10" t="s">
        <v>55</v>
      </c>
      <c r="D554" s="10" t="s">
        <v>24</v>
      </c>
      <c r="E554" s="10" t="s">
        <v>30</v>
      </c>
      <c r="F554" s="10" t="s">
        <v>26</v>
      </c>
      <c r="G554" s="10" t="n">
        <v>2</v>
      </c>
      <c r="H554" s="12" t="n">
        <v>280</v>
      </c>
      <c r="I554" s="12" t="n">
        <v>190</v>
      </c>
      <c r="J554" s="13" t="n">
        <f aca="false">G554*H554</f>
        <v>560</v>
      </c>
      <c r="K554" s="13" t="n">
        <f aca="false">J554-G554*I554</f>
        <v>180</v>
      </c>
    </row>
    <row r="555" customFormat="false" ht="15" hidden="false" customHeight="false" outlineLevel="0" collapsed="false">
      <c r="A555" s="10" t="s">
        <v>598</v>
      </c>
      <c r="B555" s="11" t="n">
        <v>45989</v>
      </c>
      <c r="C555" s="10" t="s">
        <v>28</v>
      </c>
      <c r="D555" s="10" t="s">
        <v>29</v>
      </c>
      <c r="E555" s="10" t="s">
        <v>25</v>
      </c>
      <c r="F555" s="10" t="s">
        <v>26</v>
      </c>
      <c r="G555" s="10" t="n">
        <v>1</v>
      </c>
      <c r="H555" s="12" t="n">
        <v>450</v>
      </c>
      <c r="I555" s="12" t="n">
        <v>280</v>
      </c>
      <c r="J555" s="13" t="n">
        <f aca="false">G555*H555</f>
        <v>450</v>
      </c>
      <c r="K555" s="13" t="n">
        <f aca="false">J555-G555*I555</f>
        <v>170</v>
      </c>
    </row>
    <row r="556" customFormat="false" ht="15" hidden="false" customHeight="false" outlineLevel="0" collapsed="false">
      <c r="A556" s="10" t="s">
        <v>599</v>
      </c>
      <c r="B556" s="11" t="n">
        <v>45989</v>
      </c>
      <c r="C556" s="10" t="s">
        <v>36</v>
      </c>
      <c r="D556" s="10" t="s">
        <v>29</v>
      </c>
      <c r="E556" s="10" t="s">
        <v>33</v>
      </c>
      <c r="F556" s="10" t="s">
        <v>26</v>
      </c>
      <c r="G556" s="10" t="n">
        <v>1</v>
      </c>
      <c r="H556" s="12" t="n">
        <v>380</v>
      </c>
      <c r="I556" s="12" t="n">
        <v>260</v>
      </c>
      <c r="J556" s="13" t="n">
        <f aca="false">G556*H556</f>
        <v>380</v>
      </c>
      <c r="K556" s="13" t="n">
        <f aca="false">J556-G556*I556</f>
        <v>120</v>
      </c>
    </row>
    <row r="557" customFormat="false" ht="15" hidden="false" customHeight="false" outlineLevel="0" collapsed="false">
      <c r="A557" s="10" t="s">
        <v>600</v>
      </c>
      <c r="B557" s="11" t="n">
        <v>45990</v>
      </c>
      <c r="C557" s="10" t="s">
        <v>53</v>
      </c>
      <c r="D557" s="10" t="s">
        <v>24</v>
      </c>
      <c r="E557" s="10" t="s">
        <v>33</v>
      </c>
      <c r="F557" s="10" t="s">
        <v>26</v>
      </c>
      <c r="G557" s="10" t="n">
        <v>2</v>
      </c>
      <c r="H557" s="12" t="n">
        <v>300</v>
      </c>
      <c r="I557" s="12" t="n">
        <v>200</v>
      </c>
      <c r="J557" s="13" t="n">
        <f aca="false">G557*H557</f>
        <v>600</v>
      </c>
      <c r="K557" s="13" t="n">
        <f aca="false">J557-G557*I557</f>
        <v>200</v>
      </c>
    </row>
    <row r="558" customFormat="false" ht="15" hidden="false" customHeight="false" outlineLevel="0" collapsed="false">
      <c r="A558" s="10" t="s">
        <v>601</v>
      </c>
      <c r="B558" s="11" t="n">
        <v>45990</v>
      </c>
      <c r="C558" s="10" t="s">
        <v>41</v>
      </c>
      <c r="D558" s="10" t="s">
        <v>42</v>
      </c>
      <c r="E558" s="10" t="s">
        <v>30</v>
      </c>
      <c r="F558" s="10" t="s">
        <v>26</v>
      </c>
      <c r="G558" s="10" t="n">
        <v>3</v>
      </c>
      <c r="H558" s="12" t="n">
        <v>45</v>
      </c>
      <c r="I558" s="12" t="n">
        <v>20</v>
      </c>
      <c r="J558" s="13" t="n">
        <f aca="false">G558*H558</f>
        <v>135</v>
      </c>
      <c r="K558" s="13" t="n">
        <f aca="false">J558-G558*I558</f>
        <v>75</v>
      </c>
    </row>
    <row r="559" customFormat="false" ht="15" hidden="false" customHeight="false" outlineLevel="0" collapsed="false">
      <c r="A559" s="10" t="s">
        <v>602</v>
      </c>
      <c r="B559" s="11" t="n">
        <v>45991</v>
      </c>
      <c r="C559" s="10" t="s">
        <v>36</v>
      </c>
      <c r="D559" s="10" t="s">
        <v>29</v>
      </c>
      <c r="E559" s="10" t="s">
        <v>38</v>
      </c>
      <c r="F559" s="10" t="s">
        <v>26</v>
      </c>
      <c r="G559" s="10" t="n">
        <v>1</v>
      </c>
      <c r="H559" s="12" t="n">
        <v>380</v>
      </c>
      <c r="I559" s="12" t="n">
        <v>260</v>
      </c>
      <c r="J559" s="13" t="n">
        <f aca="false">G559*H559</f>
        <v>380</v>
      </c>
      <c r="K559" s="13" t="n">
        <f aca="false">J559-G559*I559</f>
        <v>120</v>
      </c>
    </row>
    <row r="560" customFormat="false" ht="15" hidden="false" customHeight="false" outlineLevel="0" collapsed="false">
      <c r="A560" s="10" t="s">
        <v>603</v>
      </c>
      <c r="B560" s="11" t="n">
        <v>45991</v>
      </c>
      <c r="C560" s="10" t="s">
        <v>51</v>
      </c>
      <c r="D560" s="10" t="s">
        <v>42</v>
      </c>
      <c r="E560" s="10" t="s">
        <v>30</v>
      </c>
      <c r="F560" s="10" t="s">
        <v>26</v>
      </c>
      <c r="G560" s="10" t="n">
        <v>3</v>
      </c>
      <c r="H560" s="12" t="n">
        <v>130</v>
      </c>
      <c r="I560" s="12" t="n">
        <v>60</v>
      </c>
      <c r="J560" s="13" t="n">
        <f aca="false">G560*H560</f>
        <v>390</v>
      </c>
      <c r="K560" s="13" t="n">
        <f aca="false">J560-G560*I560</f>
        <v>210</v>
      </c>
    </row>
    <row r="561" customFormat="false" ht="15" hidden="false" customHeight="false" outlineLevel="0" collapsed="false">
      <c r="A561" s="10" t="s">
        <v>604</v>
      </c>
      <c r="B561" s="11" t="n">
        <v>45992</v>
      </c>
      <c r="C561" s="10" t="s">
        <v>51</v>
      </c>
      <c r="D561" s="10" t="s">
        <v>42</v>
      </c>
      <c r="E561" s="10" t="s">
        <v>30</v>
      </c>
      <c r="F561" s="10" t="s">
        <v>34</v>
      </c>
      <c r="G561" s="10" t="n">
        <v>2</v>
      </c>
      <c r="H561" s="12" t="n">
        <v>130</v>
      </c>
      <c r="I561" s="12" t="n">
        <v>60</v>
      </c>
      <c r="J561" s="13" t="n">
        <f aca="false">G561*H561</f>
        <v>260</v>
      </c>
      <c r="K561" s="13" t="n">
        <f aca="false">J561-G561*I561</f>
        <v>140</v>
      </c>
    </row>
    <row r="562" customFormat="false" ht="15" hidden="false" customHeight="false" outlineLevel="0" collapsed="false">
      <c r="A562" s="10" t="s">
        <v>605</v>
      </c>
      <c r="B562" s="11" t="n">
        <v>45992</v>
      </c>
      <c r="C562" s="10" t="s">
        <v>23</v>
      </c>
      <c r="D562" s="10" t="s">
        <v>24</v>
      </c>
      <c r="E562" s="10" t="s">
        <v>38</v>
      </c>
      <c r="F562" s="10" t="s">
        <v>34</v>
      </c>
      <c r="G562" s="10" t="n">
        <v>3</v>
      </c>
      <c r="H562" s="12" t="n">
        <v>260</v>
      </c>
      <c r="I562" s="12" t="n">
        <v>180</v>
      </c>
      <c r="J562" s="13" t="n">
        <f aca="false">G562*H562</f>
        <v>780</v>
      </c>
      <c r="K562" s="13" t="n">
        <f aca="false">J562-G562*I562</f>
        <v>240</v>
      </c>
    </row>
    <row r="563" customFormat="false" ht="15" hidden="false" customHeight="false" outlineLevel="0" collapsed="false">
      <c r="A563" s="10" t="s">
        <v>606</v>
      </c>
      <c r="B563" s="11" t="n">
        <v>45992</v>
      </c>
      <c r="C563" s="10" t="s">
        <v>36</v>
      </c>
      <c r="D563" s="10" t="s">
        <v>29</v>
      </c>
      <c r="E563" s="10" t="s">
        <v>30</v>
      </c>
      <c r="F563" s="10" t="s">
        <v>34</v>
      </c>
      <c r="G563" s="10" t="n">
        <v>2</v>
      </c>
      <c r="H563" s="12" t="n">
        <v>380</v>
      </c>
      <c r="I563" s="12" t="n">
        <v>260</v>
      </c>
      <c r="J563" s="13" t="n">
        <f aca="false">G563*H563</f>
        <v>760</v>
      </c>
      <c r="K563" s="13" t="n">
        <f aca="false">J563-G563*I563</f>
        <v>240</v>
      </c>
    </row>
    <row r="564" customFormat="false" ht="15" hidden="false" customHeight="false" outlineLevel="0" collapsed="false">
      <c r="A564" s="10" t="s">
        <v>607</v>
      </c>
      <c r="B564" s="11" t="n">
        <v>45993</v>
      </c>
      <c r="C564" s="10" t="s">
        <v>32</v>
      </c>
      <c r="D564" s="10" t="s">
        <v>29</v>
      </c>
      <c r="E564" s="10" t="s">
        <v>38</v>
      </c>
      <c r="F564" s="10" t="s">
        <v>26</v>
      </c>
      <c r="G564" s="10" t="n">
        <v>4</v>
      </c>
      <c r="H564" s="12" t="n">
        <v>520</v>
      </c>
      <c r="I564" s="12" t="n">
        <v>300</v>
      </c>
      <c r="J564" s="13" t="n">
        <f aca="false">G564*H564</f>
        <v>2080</v>
      </c>
      <c r="K564" s="13" t="n">
        <f aca="false">J564-G564*I564</f>
        <v>880</v>
      </c>
    </row>
    <row r="565" customFormat="false" ht="15" hidden="false" customHeight="false" outlineLevel="0" collapsed="false">
      <c r="A565" s="10" t="s">
        <v>608</v>
      </c>
      <c r="B565" s="11" t="n">
        <v>45994</v>
      </c>
      <c r="C565" s="10" t="s">
        <v>49</v>
      </c>
      <c r="D565" s="10" t="s">
        <v>24</v>
      </c>
      <c r="E565" s="10" t="s">
        <v>38</v>
      </c>
      <c r="F565" s="10" t="s">
        <v>26</v>
      </c>
      <c r="G565" s="10" t="n">
        <v>3</v>
      </c>
      <c r="H565" s="12" t="n">
        <v>250</v>
      </c>
      <c r="I565" s="12" t="n">
        <v>170</v>
      </c>
      <c r="J565" s="13" t="n">
        <f aca="false">G565*H565</f>
        <v>750</v>
      </c>
      <c r="K565" s="13" t="n">
        <f aca="false">J565-G565*I565</f>
        <v>240</v>
      </c>
    </row>
    <row r="566" customFormat="false" ht="15" hidden="false" customHeight="false" outlineLevel="0" collapsed="false">
      <c r="A566" s="10" t="s">
        <v>609</v>
      </c>
      <c r="B566" s="11" t="n">
        <v>45994</v>
      </c>
      <c r="C566" s="10" t="s">
        <v>101</v>
      </c>
      <c r="D566" s="10" t="s">
        <v>68</v>
      </c>
      <c r="E566" s="10" t="s">
        <v>25</v>
      </c>
      <c r="F566" s="10" t="s">
        <v>34</v>
      </c>
      <c r="G566" s="10" t="n">
        <v>2</v>
      </c>
      <c r="H566" s="12" t="n">
        <v>4200</v>
      </c>
      <c r="I566" s="12" t="n">
        <v>3300</v>
      </c>
      <c r="J566" s="13" t="n">
        <f aca="false">G566*H566</f>
        <v>8400</v>
      </c>
      <c r="K566" s="13" t="n">
        <f aca="false">J566-G566*I566</f>
        <v>1800</v>
      </c>
    </row>
    <row r="567" customFormat="false" ht="15" hidden="false" customHeight="false" outlineLevel="0" collapsed="false">
      <c r="A567" s="10" t="s">
        <v>610</v>
      </c>
      <c r="B567" s="11" t="n">
        <v>45995</v>
      </c>
      <c r="C567" s="10" t="s">
        <v>32</v>
      </c>
      <c r="D567" s="10" t="s">
        <v>29</v>
      </c>
      <c r="E567" s="10" t="s">
        <v>38</v>
      </c>
      <c r="F567" s="10" t="s">
        <v>26</v>
      </c>
      <c r="G567" s="10" t="n">
        <v>2</v>
      </c>
      <c r="H567" s="12" t="n">
        <v>520</v>
      </c>
      <c r="I567" s="12" t="n">
        <v>300</v>
      </c>
      <c r="J567" s="13" t="n">
        <f aca="false">G567*H567</f>
        <v>1040</v>
      </c>
      <c r="K567" s="13" t="n">
        <f aca="false">J567-G567*I567</f>
        <v>440</v>
      </c>
    </row>
    <row r="568" customFormat="false" ht="15" hidden="false" customHeight="false" outlineLevel="0" collapsed="false">
      <c r="A568" s="10" t="s">
        <v>611</v>
      </c>
      <c r="B568" s="11" t="n">
        <v>45996</v>
      </c>
      <c r="C568" s="10" t="s">
        <v>53</v>
      </c>
      <c r="D568" s="10" t="s">
        <v>24</v>
      </c>
      <c r="E568" s="10" t="s">
        <v>30</v>
      </c>
      <c r="F568" s="10" t="s">
        <v>26</v>
      </c>
      <c r="G568" s="10" t="n">
        <v>3</v>
      </c>
      <c r="H568" s="12" t="n">
        <v>300</v>
      </c>
      <c r="I568" s="12" t="n">
        <v>200</v>
      </c>
      <c r="J568" s="13" t="n">
        <f aca="false">G568*H568</f>
        <v>900</v>
      </c>
      <c r="K568" s="13" t="n">
        <f aca="false">J568-G568*I568</f>
        <v>300</v>
      </c>
    </row>
    <row r="569" customFormat="false" ht="15" hidden="false" customHeight="false" outlineLevel="0" collapsed="false">
      <c r="A569" s="10" t="s">
        <v>612</v>
      </c>
      <c r="B569" s="11" t="n">
        <v>45996</v>
      </c>
      <c r="C569" s="10" t="s">
        <v>36</v>
      </c>
      <c r="D569" s="10" t="s">
        <v>29</v>
      </c>
      <c r="E569" s="10" t="s">
        <v>38</v>
      </c>
      <c r="F569" s="10" t="s">
        <v>34</v>
      </c>
      <c r="G569" s="10" t="n">
        <v>3</v>
      </c>
      <c r="H569" s="12" t="n">
        <v>380</v>
      </c>
      <c r="I569" s="12" t="n">
        <v>260</v>
      </c>
      <c r="J569" s="13" t="n">
        <f aca="false">G569*H569</f>
        <v>1140</v>
      </c>
      <c r="K569" s="13" t="n">
        <f aca="false">J569-G569*I569</f>
        <v>360</v>
      </c>
    </row>
    <row r="570" customFormat="false" ht="15" hidden="false" customHeight="false" outlineLevel="0" collapsed="false">
      <c r="A570" s="10" t="s">
        <v>613</v>
      </c>
      <c r="B570" s="11" t="n">
        <v>45997</v>
      </c>
      <c r="C570" s="10" t="s">
        <v>84</v>
      </c>
      <c r="D570" s="10" t="s">
        <v>42</v>
      </c>
      <c r="E570" s="10" t="s">
        <v>38</v>
      </c>
      <c r="F570" s="10" t="s">
        <v>26</v>
      </c>
      <c r="G570" s="10" t="n">
        <v>3</v>
      </c>
      <c r="H570" s="12" t="n">
        <v>480</v>
      </c>
      <c r="I570" s="12" t="n">
        <v>220</v>
      </c>
      <c r="J570" s="13" t="n">
        <f aca="false">G570*H570</f>
        <v>1440</v>
      </c>
      <c r="K570" s="13" t="n">
        <f aca="false">J570-G570*I570</f>
        <v>780</v>
      </c>
    </row>
    <row r="571" customFormat="false" ht="15" hidden="false" customHeight="false" outlineLevel="0" collapsed="false">
      <c r="A571" s="10" t="s">
        <v>614</v>
      </c>
      <c r="B571" s="11" t="n">
        <v>45997</v>
      </c>
      <c r="C571" s="10" t="s">
        <v>41</v>
      </c>
      <c r="D571" s="10" t="s">
        <v>42</v>
      </c>
      <c r="E571" s="10" t="s">
        <v>30</v>
      </c>
      <c r="F571" s="10" t="s">
        <v>26</v>
      </c>
      <c r="G571" s="10" t="n">
        <v>1</v>
      </c>
      <c r="H571" s="12" t="n">
        <v>45</v>
      </c>
      <c r="I571" s="12" t="n">
        <v>20</v>
      </c>
      <c r="J571" s="13" t="n">
        <f aca="false">G571*H571</f>
        <v>45</v>
      </c>
      <c r="K571" s="13" t="n">
        <f aca="false">J571-G571*I571</f>
        <v>25</v>
      </c>
    </row>
    <row r="572" customFormat="false" ht="15" hidden="false" customHeight="false" outlineLevel="0" collapsed="false">
      <c r="A572" s="10" t="s">
        <v>615</v>
      </c>
      <c r="B572" s="11" t="n">
        <v>45997</v>
      </c>
      <c r="C572" s="10" t="s">
        <v>55</v>
      </c>
      <c r="D572" s="10" t="s">
        <v>24</v>
      </c>
      <c r="E572" s="10" t="s">
        <v>38</v>
      </c>
      <c r="F572" s="10" t="s">
        <v>26</v>
      </c>
      <c r="G572" s="10" t="n">
        <v>2</v>
      </c>
      <c r="H572" s="12" t="n">
        <v>280</v>
      </c>
      <c r="I572" s="12" t="n">
        <v>190</v>
      </c>
      <c r="J572" s="13" t="n">
        <f aca="false">G572*H572</f>
        <v>560</v>
      </c>
      <c r="K572" s="13" t="n">
        <f aca="false">J572-G572*I572</f>
        <v>180</v>
      </c>
    </row>
    <row r="573" customFormat="false" ht="15" hidden="false" customHeight="false" outlineLevel="0" collapsed="false">
      <c r="A573" s="10" t="s">
        <v>616</v>
      </c>
      <c r="B573" s="11" t="n">
        <v>45998</v>
      </c>
      <c r="C573" s="10" t="s">
        <v>49</v>
      </c>
      <c r="D573" s="10" t="s">
        <v>24</v>
      </c>
      <c r="E573" s="10" t="s">
        <v>57</v>
      </c>
      <c r="F573" s="10" t="s">
        <v>34</v>
      </c>
      <c r="G573" s="10" t="n">
        <v>1</v>
      </c>
      <c r="H573" s="12" t="n">
        <v>250</v>
      </c>
      <c r="I573" s="12" t="n">
        <v>170</v>
      </c>
      <c r="J573" s="13" t="n">
        <f aca="false">G573*H573</f>
        <v>250</v>
      </c>
      <c r="K573" s="13" t="n">
        <f aca="false">J573-G573*I573</f>
        <v>80</v>
      </c>
    </row>
    <row r="574" customFormat="false" ht="15" hidden="false" customHeight="false" outlineLevel="0" collapsed="false">
      <c r="A574" s="10" t="s">
        <v>617</v>
      </c>
      <c r="B574" s="11" t="n">
        <v>45998</v>
      </c>
      <c r="C574" s="10" t="s">
        <v>23</v>
      </c>
      <c r="D574" s="10" t="s">
        <v>24</v>
      </c>
      <c r="E574" s="10" t="s">
        <v>30</v>
      </c>
      <c r="F574" s="10" t="s">
        <v>34</v>
      </c>
      <c r="G574" s="10" t="n">
        <v>3</v>
      </c>
      <c r="H574" s="12" t="n">
        <v>260</v>
      </c>
      <c r="I574" s="12" t="n">
        <v>180</v>
      </c>
      <c r="J574" s="13" t="n">
        <f aca="false">G574*H574</f>
        <v>780</v>
      </c>
      <c r="K574" s="13" t="n">
        <f aca="false">J574-G574*I574</f>
        <v>240</v>
      </c>
    </row>
    <row r="575" customFormat="false" ht="15" hidden="false" customHeight="false" outlineLevel="0" collapsed="false">
      <c r="A575" s="10" t="s">
        <v>618</v>
      </c>
      <c r="B575" s="11" t="n">
        <v>45999</v>
      </c>
      <c r="C575" s="10" t="s">
        <v>32</v>
      </c>
      <c r="D575" s="10" t="s">
        <v>29</v>
      </c>
      <c r="E575" s="10" t="s">
        <v>38</v>
      </c>
      <c r="F575" s="10" t="s">
        <v>26</v>
      </c>
      <c r="G575" s="10" t="n">
        <v>3</v>
      </c>
      <c r="H575" s="12" t="n">
        <v>520</v>
      </c>
      <c r="I575" s="12" t="n">
        <v>300</v>
      </c>
      <c r="J575" s="13" t="n">
        <f aca="false">G575*H575</f>
        <v>1560</v>
      </c>
      <c r="K575" s="13" t="n">
        <f aca="false">J575-G575*I575</f>
        <v>660</v>
      </c>
    </row>
    <row r="576" customFormat="false" ht="15" hidden="false" customHeight="false" outlineLevel="0" collapsed="false">
      <c r="A576" s="10" t="s">
        <v>619</v>
      </c>
      <c r="B576" s="11" t="n">
        <v>45999</v>
      </c>
      <c r="C576" s="10" t="s">
        <v>32</v>
      </c>
      <c r="D576" s="10" t="s">
        <v>29</v>
      </c>
      <c r="E576" s="10" t="s">
        <v>38</v>
      </c>
      <c r="F576" s="10" t="s">
        <v>34</v>
      </c>
      <c r="G576" s="10" t="n">
        <v>2</v>
      </c>
      <c r="H576" s="12" t="n">
        <v>520</v>
      </c>
      <c r="I576" s="12" t="n">
        <v>300</v>
      </c>
      <c r="J576" s="13" t="n">
        <f aca="false">G576*H576</f>
        <v>1040</v>
      </c>
      <c r="K576" s="13" t="n">
        <f aca="false">J576-G576*I576</f>
        <v>440</v>
      </c>
    </row>
    <row r="577" customFormat="false" ht="15" hidden="false" customHeight="false" outlineLevel="0" collapsed="false">
      <c r="A577" s="10" t="s">
        <v>620</v>
      </c>
      <c r="B577" s="11" t="n">
        <v>45999</v>
      </c>
      <c r="C577" s="10" t="s">
        <v>101</v>
      </c>
      <c r="D577" s="10" t="s">
        <v>68</v>
      </c>
      <c r="E577" s="10" t="s">
        <v>30</v>
      </c>
      <c r="F577" s="10" t="s">
        <v>26</v>
      </c>
      <c r="G577" s="10" t="n">
        <v>2</v>
      </c>
      <c r="H577" s="12" t="n">
        <v>4200</v>
      </c>
      <c r="I577" s="12" t="n">
        <v>3300</v>
      </c>
      <c r="J577" s="13" t="n">
        <f aca="false">G577*H577</f>
        <v>8400</v>
      </c>
      <c r="K577" s="13" t="n">
        <f aca="false">J577-G577*I577</f>
        <v>1800</v>
      </c>
    </row>
    <row r="578" customFormat="false" ht="15" hidden="false" customHeight="false" outlineLevel="0" collapsed="false">
      <c r="A578" s="10" t="s">
        <v>621</v>
      </c>
      <c r="B578" s="11" t="n">
        <v>46000</v>
      </c>
      <c r="C578" s="10" t="s">
        <v>67</v>
      </c>
      <c r="D578" s="10" t="s">
        <v>68</v>
      </c>
      <c r="E578" s="10" t="s">
        <v>57</v>
      </c>
      <c r="F578" s="10" t="s">
        <v>26</v>
      </c>
      <c r="G578" s="10" t="n">
        <v>2</v>
      </c>
      <c r="H578" s="12" t="n">
        <v>2600</v>
      </c>
      <c r="I578" s="12" t="n">
        <v>2100</v>
      </c>
      <c r="J578" s="13" t="n">
        <f aca="false">G578*H578</f>
        <v>5200</v>
      </c>
      <c r="K578" s="13" t="n">
        <f aca="false">J578-G578*I578</f>
        <v>1000</v>
      </c>
    </row>
    <row r="579" customFormat="false" ht="15" hidden="false" customHeight="false" outlineLevel="0" collapsed="false">
      <c r="A579" s="10" t="s">
        <v>622</v>
      </c>
      <c r="B579" s="11" t="n">
        <v>46000</v>
      </c>
      <c r="C579" s="10" t="s">
        <v>23</v>
      </c>
      <c r="D579" s="10" t="s">
        <v>24</v>
      </c>
      <c r="E579" s="10" t="s">
        <v>33</v>
      </c>
      <c r="F579" s="10" t="s">
        <v>34</v>
      </c>
      <c r="G579" s="10" t="n">
        <v>4</v>
      </c>
      <c r="H579" s="12" t="n">
        <v>260</v>
      </c>
      <c r="I579" s="12" t="n">
        <v>180</v>
      </c>
      <c r="J579" s="13" t="n">
        <f aca="false">G579*H579</f>
        <v>1040</v>
      </c>
      <c r="K579" s="13" t="n">
        <f aca="false">J579-G579*I579</f>
        <v>320</v>
      </c>
    </row>
    <row r="580" customFormat="false" ht="15" hidden="false" customHeight="false" outlineLevel="0" collapsed="false">
      <c r="A580" s="10" t="s">
        <v>623</v>
      </c>
      <c r="B580" s="11" t="n">
        <v>46001</v>
      </c>
      <c r="C580" s="10" t="s">
        <v>49</v>
      </c>
      <c r="D580" s="10" t="s">
        <v>24</v>
      </c>
      <c r="E580" s="10" t="s">
        <v>33</v>
      </c>
      <c r="F580" s="10" t="s">
        <v>26</v>
      </c>
      <c r="G580" s="10" t="n">
        <v>4</v>
      </c>
      <c r="H580" s="12" t="n">
        <v>250</v>
      </c>
      <c r="I580" s="12" t="n">
        <v>170</v>
      </c>
      <c r="J580" s="13" t="n">
        <f aca="false">G580*H580</f>
        <v>1000</v>
      </c>
      <c r="K580" s="13" t="n">
        <f aca="false">J580-G580*I580</f>
        <v>320</v>
      </c>
    </row>
    <row r="581" customFormat="false" ht="15" hidden="false" customHeight="false" outlineLevel="0" collapsed="false">
      <c r="A581" s="10" t="s">
        <v>624</v>
      </c>
      <c r="B581" s="11" t="n">
        <v>46001</v>
      </c>
      <c r="C581" s="10" t="s">
        <v>28</v>
      </c>
      <c r="D581" s="10" t="s">
        <v>29</v>
      </c>
      <c r="E581" s="10" t="s">
        <v>38</v>
      </c>
      <c r="F581" s="10" t="s">
        <v>26</v>
      </c>
      <c r="G581" s="10" t="n">
        <v>2</v>
      </c>
      <c r="H581" s="12" t="n">
        <v>450</v>
      </c>
      <c r="I581" s="12" t="n">
        <v>280</v>
      </c>
      <c r="J581" s="13" t="n">
        <f aca="false">G581*H581</f>
        <v>900</v>
      </c>
      <c r="K581" s="13" t="n">
        <f aca="false">J581-G581*I581</f>
        <v>340</v>
      </c>
    </row>
    <row r="582" customFormat="false" ht="15" hidden="false" customHeight="false" outlineLevel="0" collapsed="false">
      <c r="A582" s="10" t="s">
        <v>625</v>
      </c>
      <c r="B582" s="11" t="n">
        <v>46001</v>
      </c>
      <c r="C582" s="10" t="s">
        <v>23</v>
      </c>
      <c r="D582" s="10" t="s">
        <v>24</v>
      </c>
      <c r="E582" s="10" t="s">
        <v>57</v>
      </c>
      <c r="F582" s="10" t="s">
        <v>26</v>
      </c>
      <c r="G582" s="10" t="n">
        <v>3</v>
      </c>
      <c r="H582" s="12" t="n">
        <v>260</v>
      </c>
      <c r="I582" s="12" t="n">
        <v>180</v>
      </c>
      <c r="J582" s="13" t="n">
        <f aca="false">G582*H582</f>
        <v>780</v>
      </c>
      <c r="K582" s="13" t="n">
        <f aca="false">J582-G582*I582</f>
        <v>240</v>
      </c>
    </row>
    <row r="583" customFormat="false" ht="15" hidden="false" customHeight="false" outlineLevel="0" collapsed="false">
      <c r="A583" s="10" t="s">
        <v>626</v>
      </c>
      <c r="B583" s="11" t="n">
        <v>46001</v>
      </c>
      <c r="C583" s="10" t="s">
        <v>28</v>
      </c>
      <c r="D583" s="10" t="s">
        <v>29</v>
      </c>
      <c r="E583" s="10" t="s">
        <v>25</v>
      </c>
      <c r="F583" s="10" t="s">
        <v>34</v>
      </c>
      <c r="G583" s="10" t="n">
        <v>3</v>
      </c>
      <c r="H583" s="12" t="n">
        <v>450</v>
      </c>
      <c r="I583" s="12" t="n">
        <v>280</v>
      </c>
      <c r="J583" s="13" t="n">
        <f aca="false">G583*H583</f>
        <v>1350</v>
      </c>
      <c r="K583" s="13" t="n">
        <f aca="false">J583-G583*I583</f>
        <v>510</v>
      </c>
    </row>
    <row r="584" customFormat="false" ht="15" hidden="false" customHeight="false" outlineLevel="0" collapsed="false">
      <c r="A584" s="10" t="s">
        <v>627</v>
      </c>
      <c r="B584" s="11" t="n">
        <v>46002</v>
      </c>
      <c r="C584" s="10" t="s">
        <v>41</v>
      </c>
      <c r="D584" s="10" t="s">
        <v>42</v>
      </c>
      <c r="E584" s="10" t="s">
        <v>38</v>
      </c>
      <c r="F584" s="10" t="s">
        <v>34</v>
      </c>
      <c r="G584" s="10" t="n">
        <v>2</v>
      </c>
      <c r="H584" s="12" t="n">
        <v>45</v>
      </c>
      <c r="I584" s="12" t="n">
        <v>20</v>
      </c>
      <c r="J584" s="13" t="n">
        <f aca="false">G584*H584</f>
        <v>90</v>
      </c>
      <c r="K584" s="13" t="n">
        <f aca="false">J584-G584*I584</f>
        <v>50</v>
      </c>
    </row>
    <row r="585" customFormat="false" ht="15" hidden="false" customHeight="false" outlineLevel="0" collapsed="false">
      <c r="A585" s="10" t="s">
        <v>628</v>
      </c>
      <c r="B585" s="11" t="n">
        <v>46002</v>
      </c>
      <c r="C585" s="10" t="s">
        <v>41</v>
      </c>
      <c r="D585" s="10" t="s">
        <v>42</v>
      </c>
      <c r="E585" s="10" t="s">
        <v>25</v>
      </c>
      <c r="F585" s="10" t="s">
        <v>26</v>
      </c>
      <c r="G585" s="10" t="n">
        <v>4</v>
      </c>
      <c r="H585" s="12" t="n">
        <v>45</v>
      </c>
      <c r="I585" s="12" t="n">
        <v>20</v>
      </c>
      <c r="J585" s="13" t="n">
        <f aca="false">G585*H585</f>
        <v>180</v>
      </c>
      <c r="K585" s="13" t="n">
        <f aca="false">J585-G585*I585</f>
        <v>100</v>
      </c>
    </row>
    <row r="586" customFormat="false" ht="15" hidden="false" customHeight="false" outlineLevel="0" collapsed="false">
      <c r="A586" s="10" t="s">
        <v>629</v>
      </c>
      <c r="B586" s="11" t="n">
        <v>46003</v>
      </c>
      <c r="C586" s="10" t="s">
        <v>49</v>
      </c>
      <c r="D586" s="10" t="s">
        <v>24</v>
      </c>
      <c r="E586" s="10" t="s">
        <v>30</v>
      </c>
      <c r="F586" s="10" t="s">
        <v>34</v>
      </c>
      <c r="G586" s="10" t="n">
        <v>4</v>
      </c>
      <c r="H586" s="12" t="n">
        <v>250</v>
      </c>
      <c r="I586" s="12" t="n">
        <v>170</v>
      </c>
      <c r="J586" s="13" t="n">
        <f aca="false">G586*H586</f>
        <v>1000</v>
      </c>
      <c r="K586" s="13" t="n">
        <f aca="false">J586-G586*I586</f>
        <v>320</v>
      </c>
    </row>
    <row r="587" customFormat="false" ht="15" hidden="false" customHeight="false" outlineLevel="0" collapsed="false">
      <c r="A587" s="10" t="s">
        <v>630</v>
      </c>
      <c r="B587" s="11" t="n">
        <v>46003</v>
      </c>
      <c r="C587" s="10" t="s">
        <v>84</v>
      </c>
      <c r="D587" s="10" t="s">
        <v>42</v>
      </c>
      <c r="E587" s="10" t="s">
        <v>25</v>
      </c>
      <c r="F587" s="10" t="s">
        <v>26</v>
      </c>
      <c r="G587" s="10" t="n">
        <v>3</v>
      </c>
      <c r="H587" s="12" t="n">
        <v>480</v>
      </c>
      <c r="I587" s="12" t="n">
        <v>220</v>
      </c>
      <c r="J587" s="13" t="n">
        <f aca="false">G587*H587</f>
        <v>1440</v>
      </c>
      <c r="K587" s="13" t="n">
        <f aca="false">J587-G587*I587</f>
        <v>780</v>
      </c>
    </row>
    <row r="588" customFormat="false" ht="15" hidden="false" customHeight="false" outlineLevel="0" collapsed="false">
      <c r="A588" s="10" t="s">
        <v>631</v>
      </c>
      <c r="B588" s="11" t="n">
        <v>46003</v>
      </c>
      <c r="C588" s="10" t="s">
        <v>51</v>
      </c>
      <c r="D588" s="10" t="s">
        <v>42</v>
      </c>
      <c r="E588" s="10" t="s">
        <v>57</v>
      </c>
      <c r="F588" s="10" t="s">
        <v>26</v>
      </c>
      <c r="G588" s="10" t="n">
        <v>1</v>
      </c>
      <c r="H588" s="12" t="n">
        <v>130</v>
      </c>
      <c r="I588" s="12" t="n">
        <v>60</v>
      </c>
      <c r="J588" s="13" t="n">
        <f aca="false">G588*H588</f>
        <v>130</v>
      </c>
      <c r="K588" s="13" t="n">
        <f aca="false">J588-G588*I588</f>
        <v>70</v>
      </c>
    </row>
    <row r="589" customFormat="false" ht="15" hidden="false" customHeight="false" outlineLevel="0" collapsed="false">
      <c r="A589" s="10" t="s">
        <v>632</v>
      </c>
      <c r="B589" s="11" t="n">
        <v>46005</v>
      </c>
      <c r="C589" s="10" t="s">
        <v>51</v>
      </c>
      <c r="D589" s="10" t="s">
        <v>42</v>
      </c>
      <c r="E589" s="10" t="s">
        <v>38</v>
      </c>
      <c r="F589" s="10" t="s">
        <v>26</v>
      </c>
      <c r="G589" s="10" t="n">
        <v>1</v>
      </c>
      <c r="H589" s="12" t="n">
        <v>130</v>
      </c>
      <c r="I589" s="12" t="n">
        <v>60</v>
      </c>
      <c r="J589" s="13" t="n">
        <f aca="false">G589*H589</f>
        <v>130</v>
      </c>
      <c r="K589" s="13" t="n">
        <f aca="false">J589-G589*I589</f>
        <v>70</v>
      </c>
    </row>
    <row r="590" customFormat="false" ht="15" hidden="false" customHeight="false" outlineLevel="0" collapsed="false">
      <c r="A590" s="10" t="s">
        <v>633</v>
      </c>
      <c r="B590" s="11" t="n">
        <v>46006</v>
      </c>
      <c r="C590" s="10" t="s">
        <v>36</v>
      </c>
      <c r="D590" s="10" t="s">
        <v>29</v>
      </c>
      <c r="E590" s="10" t="s">
        <v>33</v>
      </c>
      <c r="F590" s="10" t="s">
        <v>26</v>
      </c>
      <c r="G590" s="10" t="n">
        <v>2</v>
      </c>
      <c r="H590" s="12" t="n">
        <v>380</v>
      </c>
      <c r="I590" s="12" t="n">
        <v>260</v>
      </c>
      <c r="J590" s="13" t="n">
        <f aca="false">G590*H590</f>
        <v>760</v>
      </c>
      <c r="K590" s="13" t="n">
        <f aca="false">J590-G590*I590</f>
        <v>240</v>
      </c>
    </row>
    <row r="591" customFormat="false" ht="15" hidden="false" customHeight="false" outlineLevel="0" collapsed="false">
      <c r="A591" s="10" t="s">
        <v>634</v>
      </c>
      <c r="B591" s="11" t="n">
        <v>46006</v>
      </c>
      <c r="C591" s="10" t="s">
        <v>36</v>
      </c>
      <c r="D591" s="10" t="s">
        <v>29</v>
      </c>
      <c r="E591" s="10" t="s">
        <v>33</v>
      </c>
      <c r="F591" s="10" t="s">
        <v>26</v>
      </c>
      <c r="G591" s="10" t="n">
        <v>1</v>
      </c>
      <c r="H591" s="12" t="n">
        <v>380</v>
      </c>
      <c r="I591" s="12" t="n">
        <v>260</v>
      </c>
      <c r="J591" s="13" t="n">
        <f aca="false">G591*H591</f>
        <v>380</v>
      </c>
      <c r="K591" s="13" t="n">
        <f aca="false">J591-G591*I591</f>
        <v>120</v>
      </c>
    </row>
    <row r="592" customFormat="false" ht="15" hidden="false" customHeight="false" outlineLevel="0" collapsed="false">
      <c r="A592" s="10" t="s">
        <v>635</v>
      </c>
      <c r="B592" s="11" t="n">
        <v>46007</v>
      </c>
      <c r="C592" s="10" t="s">
        <v>28</v>
      </c>
      <c r="D592" s="10" t="s">
        <v>29</v>
      </c>
      <c r="E592" s="10" t="s">
        <v>30</v>
      </c>
      <c r="F592" s="10" t="s">
        <v>26</v>
      </c>
      <c r="G592" s="10" t="n">
        <v>3</v>
      </c>
      <c r="H592" s="12" t="n">
        <v>450</v>
      </c>
      <c r="I592" s="12" t="n">
        <v>280</v>
      </c>
      <c r="J592" s="13" t="n">
        <f aca="false">G592*H592</f>
        <v>1350</v>
      </c>
      <c r="K592" s="13" t="n">
        <f aca="false">J592-G592*I592</f>
        <v>510</v>
      </c>
    </row>
    <row r="593" customFormat="false" ht="15" hidden="false" customHeight="false" outlineLevel="0" collapsed="false">
      <c r="A593" s="10" t="s">
        <v>636</v>
      </c>
      <c r="B593" s="11" t="n">
        <v>46008</v>
      </c>
      <c r="C593" s="10" t="s">
        <v>28</v>
      </c>
      <c r="D593" s="10" t="s">
        <v>29</v>
      </c>
      <c r="E593" s="10" t="s">
        <v>38</v>
      </c>
      <c r="F593" s="10" t="s">
        <v>26</v>
      </c>
      <c r="G593" s="10" t="n">
        <v>2</v>
      </c>
      <c r="H593" s="12" t="n">
        <v>450</v>
      </c>
      <c r="I593" s="12" t="n">
        <v>280</v>
      </c>
      <c r="J593" s="13" t="n">
        <f aca="false">G593*H593</f>
        <v>900</v>
      </c>
      <c r="K593" s="13" t="n">
        <f aca="false">J593-G593*I593</f>
        <v>340</v>
      </c>
    </row>
    <row r="594" customFormat="false" ht="15" hidden="false" customHeight="false" outlineLevel="0" collapsed="false">
      <c r="A594" s="10" t="s">
        <v>637</v>
      </c>
      <c r="B594" s="11" t="n">
        <v>46009</v>
      </c>
      <c r="C594" s="10" t="s">
        <v>55</v>
      </c>
      <c r="D594" s="10" t="s">
        <v>24</v>
      </c>
      <c r="E594" s="10" t="s">
        <v>38</v>
      </c>
      <c r="F594" s="10" t="s">
        <v>26</v>
      </c>
      <c r="G594" s="10" t="n">
        <v>3</v>
      </c>
      <c r="H594" s="12" t="n">
        <v>280</v>
      </c>
      <c r="I594" s="12" t="n">
        <v>190</v>
      </c>
      <c r="J594" s="13" t="n">
        <f aca="false">G594*H594</f>
        <v>840</v>
      </c>
      <c r="K594" s="13" t="n">
        <f aca="false">J594-G594*I594</f>
        <v>270</v>
      </c>
    </row>
    <row r="595" customFormat="false" ht="15" hidden="false" customHeight="false" outlineLevel="0" collapsed="false">
      <c r="A595" s="10" t="s">
        <v>638</v>
      </c>
      <c r="B595" s="11" t="n">
        <v>46009</v>
      </c>
      <c r="C595" s="10" t="s">
        <v>23</v>
      </c>
      <c r="D595" s="10" t="s">
        <v>24</v>
      </c>
      <c r="E595" s="10" t="s">
        <v>30</v>
      </c>
      <c r="F595" s="10" t="s">
        <v>26</v>
      </c>
      <c r="G595" s="10" t="n">
        <v>4</v>
      </c>
      <c r="H595" s="12" t="n">
        <v>260</v>
      </c>
      <c r="I595" s="12" t="n">
        <v>180</v>
      </c>
      <c r="J595" s="13" t="n">
        <f aca="false">G595*H595</f>
        <v>1040</v>
      </c>
      <c r="K595" s="13" t="n">
        <f aca="false">J595-G595*I595</f>
        <v>320</v>
      </c>
    </row>
    <row r="596" customFormat="false" ht="15" hidden="false" customHeight="false" outlineLevel="0" collapsed="false">
      <c r="A596" s="10" t="s">
        <v>639</v>
      </c>
      <c r="B596" s="11" t="n">
        <v>46010</v>
      </c>
      <c r="C596" s="10" t="s">
        <v>53</v>
      </c>
      <c r="D596" s="10" t="s">
        <v>24</v>
      </c>
      <c r="E596" s="10" t="s">
        <v>38</v>
      </c>
      <c r="F596" s="10" t="s">
        <v>26</v>
      </c>
      <c r="G596" s="10" t="n">
        <v>3</v>
      </c>
      <c r="H596" s="12" t="n">
        <v>300</v>
      </c>
      <c r="I596" s="12" t="n">
        <v>200</v>
      </c>
      <c r="J596" s="13" t="n">
        <f aca="false">G596*H596</f>
        <v>900</v>
      </c>
      <c r="K596" s="13" t="n">
        <f aca="false">J596-G596*I596</f>
        <v>300</v>
      </c>
    </row>
    <row r="597" customFormat="false" ht="15" hidden="false" customHeight="false" outlineLevel="0" collapsed="false">
      <c r="A597" s="10" t="s">
        <v>640</v>
      </c>
      <c r="B597" s="11" t="n">
        <v>46011</v>
      </c>
      <c r="C597" s="10" t="s">
        <v>41</v>
      </c>
      <c r="D597" s="10" t="s">
        <v>42</v>
      </c>
      <c r="E597" s="10" t="s">
        <v>33</v>
      </c>
      <c r="F597" s="10" t="s">
        <v>26</v>
      </c>
      <c r="G597" s="10" t="n">
        <v>3</v>
      </c>
      <c r="H597" s="12" t="n">
        <v>45</v>
      </c>
      <c r="I597" s="12" t="n">
        <v>20</v>
      </c>
      <c r="J597" s="13" t="n">
        <f aca="false">G597*H597</f>
        <v>135</v>
      </c>
      <c r="K597" s="13" t="n">
        <f aca="false">J597-G597*I597</f>
        <v>75</v>
      </c>
    </row>
    <row r="598" customFormat="false" ht="15" hidden="false" customHeight="false" outlineLevel="0" collapsed="false">
      <c r="A598" s="10" t="s">
        <v>641</v>
      </c>
      <c r="B598" s="11" t="n">
        <v>46011</v>
      </c>
      <c r="C598" s="10" t="s">
        <v>101</v>
      </c>
      <c r="D598" s="10" t="s">
        <v>68</v>
      </c>
      <c r="E598" s="10" t="s">
        <v>25</v>
      </c>
      <c r="F598" s="10" t="s">
        <v>34</v>
      </c>
      <c r="G598" s="10" t="n">
        <v>1</v>
      </c>
      <c r="H598" s="12" t="n">
        <v>4200</v>
      </c>
      <c r="I598" s="12" t="n">
        <v>3300</v>
      </c>
      <c r="J598" s="13" t="n">
        <f aca="false">G598*H598</f>
        <v>4200</v>
      </c>
      <c r="K598" s="13" t="n">
        <f aca="false">J598-G598*I598</f>
        <v>900</v>
      </c>
    </row>
    <row r="599" customFormat="false" ht="15" hidden="false" customHeight="false" outlineLevel="0" collapsed="false">
      <c r="A599" s="10" t="s">
        <v>642</v>
      </c>
      <c r="B599" s="11" t="n">
        <v>46011</v>
      </c>
      <c r="C599" s="10" t="s">
        <v>84</v>
      </c>
      <c r="D599" s="10" t="s">
        <v>42</v>
      </c>
      <c r="E599" s="10" t="s">
        <v>38</v>
      </c>
      <c r="F599" s="10" t="s">
        <v>34</v>
      </c>
      <c r="G599" s="10" t="n">
        <v>2</v>
      </c>
      <c r="H599" s="12" t="n">
        <v>480</v>
      </c>
      <c r="I599" s="12" t="n">
        <v>220</v>
      </c>
      <c r="J599" s="13" t="n">
        <f aca="false">G599*H599</f>
        <v>960</v>
      </c>
      <c r="K599" s="13" t="n">
        <f aca="false">J599-G599*I599</f>
        <v>520</v>
      </c>
    </row>
    <row r="600" customFormat="false" ht="15" hidden="false" customHeight="false" outlineLevel="0" collapsed="false">
      <c r="A600" s="10" t="s">
        <v>643</v>
      </c>
      <c r="B600" s="11" t="n">
        <v>46011</v>
      </c>
      <c r="C600" s="10" t="s">
        <v>36</v>
      </c>
      <c r="D600" s="10" t="s">
        <v>29</v>
      </c>
      <c r="E600" s="10" t="s">
        <v>33</v>
      </c>
      <c r="F600" s="10" t="s">
        <v>26</v>
      </c>
      <c r="G600" s="10" t="n">
        <v>4</v>
      </c>
      <c r="H600" s="12" t="n">
        <v>380</v>
      </c>
      <c r="I600" s="12" t="n">
        <v>260</v>
      </c>
      <c r="J600" s="13" t="n">
        <f aca="false">G600*H600</f>
        <v>1520</v>
      </c>
      <c r="K600" s="13" t="n">
        <f aca="false">J600-G600*I600</f>
        <v>480</v>
      </c>
    </row>
    <row r="601" customFormat="false" ht="15" hidden="false" customHeight="false" outlineLevel="0" collapsed="false">
      <c r="A601" s="10" t="s">
        <v>644</v>
      </c>
      <c r="B601" s="11" t="n">
        <v>46012</v>
      </c>
      <c r="C601" s="10" t="s">
        <v>32</v>
      </c>
      <c r="D601" s="10" t="s">
        <v>29</v>
      </c>
      <c r="E601" s="10" t="s">
        <v>25</v>
      </c>
      <c r="F601" s="10" t="s">
        <v>26</v>
      </c>
      <c r="G601" s="10" t="n">
        <v>4</v>
      </c>
      <c r="H601" s="12" t="n">
        <v>520</v>
      </c>
      <c r="I601" s="12" t="n">
        <v>300</v>
      </c>
      <c r="J601" s="13" t="n">
        <f aca="false">G601*H601</f>
        <v>2080</v>
      </c>
      <c r="K601" s="13" t="n">
        <f aca="false">J601-G601*I601</f>
        <v>880</v>
      </c>
    </row>
    <row r="602" customFormat="false" ht="15" hidden="false" customHeight="false" outlineLevel="0" collapsed="false">
      <c r="A602" s="10" t="s">
        <v>645</v>
      </c>
      <c r="B602" s="11" t="n">
        <v>46013</v>
      </c>
      <c r="C602" s="10" t="s">
        <v>28</v>
      </c>
      <c r="D602" s="10" t="s">
        <v>29</v>
      </c>
      <c r="E602" s="10" t="s">
        <v>57</v>
      </c>
      <c r="F602" s="10" t="s">
        <v>34</v>
      </c>
      <c r="G602" s="10" t="n">
        <v>2</v>
      </c>
      <c r="H602" s="12" t="n">
        <v>450</v>
      </c>
      <c r="I602" s="12" t="n">
        <v>280</v>
      </c>
      <c r="J602" s="13" t="n">
        <f aca="false">G602*H602</f>
        <v>900</v>
      </c>
      <c r="K602" s="13" t="n">
        <f aca="false">J602-G602*I602</f>
        <v>340</v>
      </c>
    </row>
    <row r="603" customFormat="false" ht="15" hidden="false" customHeight="false" outlineLevel="0" collapsed="false">
      <c r="A603" s="10" t="s">
        <v>646</v>
      </c>
      <c r="B603" s="11" t="n">
        <v>46016</v>
      </c>
      <c r="C603" s="10" t="s">
        <v>67</v>
      </c>
      <c r="D603" s="10" t="s">
        <v>68</v>
      </c>
      <c r="E603" s="10" t="s">
        <v>33</v>
      </c>
      <c r="F603" s="10" t="s">
        <v>34</v>
      </c>
      <c r="G603" s="10" t="n">
        <v>2</v>
      </c>
      <c r="H603" s="12" t="n">
        <v>2600</v>
      </c>
      <c r="I603" s="12" t="n">
        <v>2100</v>
      </c>
      <c r="J603" s="13" t="n">
        <f aca="false">G603*H603</f>
        <v>5200</v>
      </c>
      <c r="K603" s="13" t="n">
        <f aca="false">J603-G603*I603</f>
        <v>1000</v>
      </c>
    </row>
    <row r="604" customFormat="false" ht="15" hidden="false" customHeight="false" outlineLevel="0" collapsed="false">
      <c r="A604" s="10" t="s">
        <v>647</v>
      </c>
      <c r="B604" s="11" t="n">
        <v>46016</v>
      </c>
      <c r="C604" s="10" t="s">
        <v>36</v>
      </c>
      <c r="D604" s="10" t="s">
        <v>29</v>
      </c>
      <c r="E604" s="10" t="s">
        <v>38</v>
      </c>
      <c r="F604" s="10" t="s">
        <v>34</v>
      </c>
      <c r="G604" s="10" t="n">
        <v>3</v>
      </c>
      <c r="H604" s="12" t="n">
        <v>380</v>
      </c>
      <c r="I604" s="12" t="n">
        <v>260</v>
      </c>
      <c r="J604" s="13" t="n">
        <f aca="false">G604*H604</f>
        <v>1140</v>
      </c>
      <c r="K604" s="13" t="n">
        <f aca="false">J604-G604*I604</f>
        <v>360</v>
      </c>
    </row>
    <row r="605" customFormat="false" ht="15" hidden="false" customHeight="false" outlineLevel="0" collapsed="false">
      <c r="A605" s="10" t="s">
        <v>648</v>
      </c>
      <c r="B605" s="11" t="n">
        <v>46018</v>
      </c>
      <c r="C605" s="10" t="s">
        <v>84</v>
      </c>
      <c r="D605" s="10" t="s">
        <v>42</v>
      </c>
      <c r="E605" s="10" t="s">
        <v>30</v>
      </c>
      <c r="F605" s="10" t="s">
        <v>34</v>
      </c>
      <c r="G605" s="10" t="n">
        <v>1</v>
      </c>
      <c r="H605" s="12" t="n">
        <v>480</v>
      </c>
      <c r="I605" s="12" t="n">
        <v>220</v>
      </c>
      <c r="J605" s="13" t="n">
        <f aca="false">G605*H605</f>
        <v>480</v>
      </c>
      <c r="K605" s="13" t="n">
        <f aca="false">J605-G605*I605</f>
        <v>260</v>
      </c>
    </row>
    <row r="606" customFormat="false" ht="15" hidden="false" customHeight="false" outlineLevel="0" collapsed="false">
      <c r="A606" s="10" t="s">
        <v>649</v>
      </c>
      <c r="B606" s="11" t="n">
        <v>46018</v>
      </c>
      <c r="C606" s="10" t="s">
        <v>28</v>
      </c>
      <c r="D606" s="10" t="s">
        <v>29</v>
      </c>
      <c r="E606" s="10" t="s">
        <v>33</v>
      </c>
      <c r="F606" s="10" t="s">
        <v>34</v>
      </c>
      <c r="G606" s="10" t="n">
        <v>3</v>
      </c>
      <c r="H606" s="12" t="n">
        <v>450</v>
      </c>
      <c r="I606" s="12" t="n">
        <v>280</v>
      </c>
      <c r="J606" s="13" t="n">
        <f aca="false">G606*H606</f>
        <v>1350</v>
      </c>
      <c r="K606" s="13" t="n">
        <f aca="false">J606-G606*I606</f>
        <v>510</v>
      </c>
    </row>
    <row r="607" customFormat="false" ht="15" hidden="false" customHeight="false" outlineLevel="0" collapsed="false">
      <c r="A607" s="10" t="s">
        <v>650</v>
      </c>
      <c r="B607" s="11" t="n">
        <v>46018</v>
      </c>
      <c r="C607" s="10" t="s">
        <v>23</v>
      </c>
      <c r="D607" s="10" t="s">
        <v>24</v>
      </c>
      <c r="E607" s="10" t="s">
        <v>57</v>
      </c>
      <c r="F607" s="10" t="s">
        <v>34</v>
      </c>
      <c r="G607" s="10" t="n">
        <v>2</v>
      </c>
      <c r="H607" s="12" t="n">
        <v>260</v>
      </c>
      <c r="I607" s="12" t="n">
        <v>180</v>
      </c>
      <c r="J607" s="13" t="n">
        <f aca="false">G607*H607</f>
        <v>520</v>
      </c>
      <c r="K607" s="13" t="n">
        <f aca="false">J607-G607*I607</f>
        <v>160</v>
      </c>
    </row>
    <row r="608" customFormat="false" ht="15" hidden="false" customHeight="false" outlineLevel="0" collapsed="false">
      <c r="A608" s="10" t="s">
        <v>651</v>
      </c>
      <c r="B608" s="11" t="n">
        <v>46019</v>
      </c>
      <c r="C608" s="10" t="s">
        <v>28</v>
      </c>
      <c r="D608" s="10" t="s">
        <v>29</v>
      </c>
      <c r="E608" s="10" t="s">
        <v>38</v>
      </c>
      <c r="F608" s="10" t="s">
        <v>26</v>
      </c>
      <c r="G608" s="10" t="n">
        <v>1</v>
      </c>
      <c r="H608" s="12" t="n">
        <v>450</v>
      </c>
      <c r="I608" s="12" t="n">
        <v>280</v>
      </c>
      <c r="J608" s="13" t="n">
        <f aca="false">G608*H608</f>
        <v>450</v>
      </c>
      <c r="K608" s="13" t="n">
        <f aca="false">J608-G608*I608</f>
        <v>170</v>
      </c>
    </row>
    <row r="609" customFormat="false" ht="15" hidden="false" customHeight="false" outlineLevel="0" collapsed="false">
      <c r="A609" s="10" t="s">
        <v>652</v>
      </c>
      <c r="B609" s="11" t="n">
        <v>46020</v>
      </c>
      <c r="C609" s="10" t="s">
        <v>28</v>
      </c>
      <c r="D609" s="10" t="s">
        <v>29</v>
      </c>
      <c r="E609" s="10" t="s">
        <v>33</v>
      </c>
      <c r="F609" s="10" t="s">
        <v>26</v>
      </c>
      <c r="G609" s="10" t="n">
        <v>3</v>
      </c>
      <c r="H609" s="12" t="n">
        <v>450</v>
      </c>
      <c r="I609" s="12" t="n">
        <v>280</v>
      </c>
      <c r="J609" s="13" t="n">
        <f aca="false">G609*H609</f>
        <v>1350</v>
      </c>
      <c r="K609" s="13" t="n">
        <f aca="false">J609-G609*I609</f>
        <v>510</v>
      </c>
    </row>
    <row r="610" customFormat="false" ht="15" hidden="false" customHeight="false" outlineLevel="0" collapsed="false">
      <c r="A610" s="10" t="s">
        <v>653</v>
      </c>
      <c r="B610" s="11" t="n">
        <v>46021</v>
      </c>
      <c r="C610" s="10" t="s">
        <v>28</v>
      </c>
      <c r="D610" s="10" t="s">
        <v>29</v>
      </c>
      <c r="E610" s="10" t="s">
        <v>38</v>
      </c>
      <c r="F610" s="10" t="s">
        <v>26</v>
      </c>
      <c r="G610" s="10" t="n">
        <v>3</v>
      </c>
      <c r="H610" s="12" t="n">
        <v>450</v>
      </c>
      <c r="I610" s="12" t="n">
        <v>280</v>
      </c>
      <c r="J610" s="13" t="n">
        <f aca="false">G610*H610</f>
        <v>1350</v>
      </c>
      <c r="K610" s="13" t="n">
        <f aca="false">J610-G610*I610</f>
        <v>510</v>
      </c>
    </row>
    <row r="611" customFormat="false" ht="15" hidden="false" customHeight="false" outlineLevel="0" collapsed="false">
      <c r="A611" s="10" t="s">
        <v>654</v>
      </c>
      <c r="B611" s="11" t="n">
        <v>46021</v>
      </c>
      <c r="C611" s="10" t="s">
        <v>32</v>
      </c>
      <c r="D611" s="10" t="s">
        <v>29</v>
      </c>
      <c r="E611" s="10" t="s">
        <v>33</v>
      </c>
      <c r="F611" s="10" t="s">
        <v>34</v>
      </c>
      <c r="G611" s="10" t="n">
        <v>3</v>
      </c>
      <c r="H611" s="12" t="n">
        <v>520</v>
      </c>
      <c r="I611" s="12" t="n">
        <v>300</v>
      </c>
      <c r="J611" s="13" t="n">
        <f aca="false">G611*H611</f>
        <v>1560</v>
      </c>
      <c r="K611" s="13" t="n">
        <f aca="false">J611-G611*I611</f>
        <v>660</v>
      </c>
    </row>
    <row r="612" customFormat="false" ht="15" hidden="false" customHeight="false" outlineLevel="0" collapsed="false">
      <c r="A612" s="10" t="s">
        <v>655</v>
      </c>
      <c r="B612" s="11" t="n">
        <v>46022</v>
      </c>
      <c r="C612" s="10" t="s">
        <v>36</v>
      </c>
      <c r="D612" s="10" t="s">
        <v>29</v>
      </c>
      <c r="E612" s="10" t="s">
        <v>25</v>
      </c>
      <c r="F612" s="10" t="s">
        <v>34</v>
      </c>
      <c r="G612" s="10" t="n">
        <v>2</v>
      </c>
      <c r="H612" s="12" t="n">
        <v>380</v>
      </c>
      <c r="I612" s="12" t="n">
        <v>260</v>
      </c>
      <c r="J612" s="13" t="n">
        <f aca="false">G612*H612</f>
        <v>760</v>
      </c>
      <c r="K612" s="13" t="n">
        <f aca="false">J612-G612*I612</f>
        <v>240</v>
      </c>
    </row>
    <row r="613" customFormat="false" ht="15" hidden="false" customHeight="false" outlineLevel="0" collapsed="false">
      <c r="A613" s="10" t="s">
        <v>656</v>
      </c>
      <c r="B613" s="11" t="n">
        <v>46022</v>
      </c>
      <c r="C613" s="10" t="s">
        <v>67</v>
      </c>
      <c r="D613" s="10" t="s">
        <v>68</v>
      </c>
      <c r="E613" s="10" t="s">
        <v>38</v>
      </c>
      <c r="F613" s="10" t="s">
        <v>26</v>
      </c>
      <c r="G613" s="10" t="n">
        <v>2</v>
      </c>
      <c r="H613" s="12" t="n">
        <v>2600</v>
      </c>
      <c r="I613" s="12" t="n">
        <v>2100</v>
      </c>
      <c r="J613" s="13" t="n">
        <f aca="false">G613*H613</f>
        <v>5200</v>
      </c>
      <c r="K613" s="13" t="n">
        <f aca="false">J613-G613*I613</f>
        <v>1000</v>
      </c>
    </row>
    <row r="614" customFormat="false" ht="15" hidden="false" customHeight="false" outlineLevel="0" collapsed="false">
      <c r="A614" s="10" t="s">
        <v>657</v>
      </c>
      <c r="B614" s="11" t="n">
        <v>46022</v>
      </c>
      <c r="C614" s="10" t="s">
        <v>53</v>
      </c>
      <c r="D614" s="10" t="s">
        <v>24</v>
      </c>
      <c r="E614" s="10" t="s">
        <v>38</v>
      </c>
      <c r="F614" s="10" t="s">
        <v>34</v>
      </c>
      <c r="G614" s="10" t="n">
        <v>1</v>
      </c>
      <c r="H614" s="12" t="n">
        <v>300</v>
      </c>
      <c r="I614" s="12" t="n">
        <v>200</v>
      </c>
      <c r="J614" s="13" t="n">
        <f aca="false">G614*H614</f>
        <v>300</v>
      </c>
      <c r="K614" s="13" t="n">
        <f aca="false">J614-G614*I614</f>
        <v>100</v>
      </c>
    </row>
    <row r="615" customFormat="false" ht="15" hidden="false" customHeight="false" outlineLevel="0" collapsed="false">
      <c r="A615" s="10" t="s">
        <v>658</v>
      </c>
      <c r="B615" s="11" t="n">
        <v>46022</v>
      </c>
      <c r="C615" s="10" t="s">
        <v>49</v>
      </c>
      <c r="D615" s="10" t="s">
        <v>24</v>
      </c>
      <c r="E615" s="10" t="s">
        <v>33</v>
      </c>
      <c r="F615" s="10" t="s">
        <v>34</v>
      </c>
      <c r="G615" s="10" t="n">
        <v>1</v>
      </c>
      <c r="H615" s="12" t="n">
        <v>250</v>
      </c>
      <c r="I615" s="12" t="n">
        <v>170</v>
      </c>
      <c r="J615" s="13" t="n">
        <f aca="false">G615*H615</f>
        <v>250</v>
      </c>
      <c r="K615" s="13" t="n">
        <f aca="false">J615-G615*I615</f>
        <v>80</v>
      </c>
    </row>
    <row r="616" customFormat="false" ht="15" hidden="false" customHeight="false" outlineLevel="0" collapsed="false">
      <c r="A616" s="10" t="s">
        <v>659</v>
      </c>
      <c r="B616" s="11" t="n">
        <v>46023</v>
      </c>
      <c r="C616" s="10" t="s">
        <v>41</v>
      </c>
      <c r="D616" s="10" t="s">
        <v>42</v>
      </c>
      <c r="E616" s="10" t="s">
        <v>38</v>
      </c>
      <c r="F616" s="10" t="s">
        <v>26</v>
      </c>
      <c r="G616" s="10" t="n">
        <v>3</v>
      </c>
      <c r="H616" s="12" t="n">
        <v>45</v>
      </c>
      <c r="I616" s="12" t="n">
        <v>20</v>
      </c>
      <c r="J616" s="13" t="n">
        <f aca="false">G616*H616</f>
        <v>135</v>
      </c>
      <c r="K616" s="13" t="n">
        <f aca="false">J616-G616*I616</f>
        <v>75</v>
      </c>
    </row>
    <row r="617" customFormat="false" ht="15" hidden="false" customHeight="false" outlineLevel="0" collapsed="false">
      <c r="A617" s="10" t="s">
        <v>660</v>
      </c>
      <c r="B617" s="11" t="n">
        <v>46023</v>
      </c>
      <c r="C617" s="10" t="s">
        <v>67</v>
      </c>
      <c r="D617" s="10" t="s">
        <v>68</v>
      </c>
      <c r="E617" s="10" t="s">
        <v>30</v>
      </c>
      <c r="F617" s="10" t="s">
        <v>26</v>
      </c>
      <c r="G617" s="10" t="n">
        <v>1</v>
      </c>
      <c r="H617" s="12" t="n">
        <v>2600</v>
      </c>
      <c r="I617" s="12" t="n">
        <v>2100</v>
      </c>
      <c r="J617" s="13" t="n">
        <f aca="false">G617*H617</f>
        <v>2600</v>
      </c>
      <c r="K617" s="13" t="n">
        <f aca="false">J617-G617*I617</f>
        <v>500</v>
      </c>
    </row>
    <row r="618" customFormat="false" ht="15" hidden="false" customHeight="false" outlineLevel="0" collapsed="false">
      <c r="A618" s="10" t="s">
        <v>661</v>
      </c>
      <c r="B618" s="11" t="n">
        <v>46023</v>
      </c>
      <c r="C618" s="10" t="s">
        <v>53</v>
      </c>
      <c r="D618" s="10" t="s">
        <v>24</v>
      </c>
      <c r="E618" s="10" t="s">
        <v>38</v>
      </c>
      <c r="F618" s="10" t="s">
        <v>26</v>
      </c>
      <c r="G618" s="10" t="n">
        <v>1</v>
      </c>
      <c r="H618" s="12" t="n">
        <v>300</v>
      </c>
      <c r="I618" s="12" t="n">
        <v>200</v>
      </c>
      <c r="J618" s="13" t="n">
        <f aca="false">G618*H618</f>
        <v>300</v>
      </c>
      <c r="K618" s="13" t="n">
        <f aca="false">J618-G618*I618</f>
        <v>100</v>
      </c>
    </row>
    <row r="619" customFormat="false" ht="15" hidden="false" customHeight="false" outlineLevel="0" collapsed="false">
      <c r="A619" s="10" t="s">
        <v>662</v>
      </c>
      <c r="B619" s="11" t="n">
        <v>46024</v>
      </c>
      <c r="C619" s="10" t="s">
        <v>36</v>
      </c>
      <c r="D619" s="10" t="s">
        <v>29</v>
      </c>
      <c r="E619" s="10" t="s">
        <v>38</v>
      </c>
      <c r="F619" s="10" t="s">
        <v>26</v>
      </c>
      <c r="G619" s="10" t="n">
        <v>2</v>
      </c>
      <c r="H619" s="12" t="n">
        <v>380</v>
      </c>
      <c r="I619" s="12" t="n">
        <v>260</v>
      </c>
      <c r="J619" s="13" t="n">
        <f aca="false">G619*H619</f>
        <v>760</v>
      </c>
      <c r="K619" s="13" t="n">
        <f aca="false">J619-G619*I619</f>
        <v>240</v>
      </c>
    </row>
    <row r="620" customFormat="false" ht="15" hidden="false" customHeight="false" outlineLevel="0" collapsed="false">
      <c r="A620" s="10" t="s">
        <v>663</v>
      </c>
      <c r="B620" s="11" t="n">
        <v>46025</v>
      </c>
      <c r="C620" s="10" t="s">
        <v>55</v>
      </c>
      <c r="D620" s="10" t="s">
        <v>24</v>
      </c>
      <c r="E620" s="10" t="s">
        <v>33</v>
      </c>
      <c r="F620" s="10" t="s">
        <v>26</v>
      </c>
      <c r="G620" s="10" t="n">
        <v>4</v>
      </c>
      <c r="H620" s="12" t="n">
        <v>280</v>
      </c>
      <c r="I620" s="12" t="n">
        <v>190</v>
      </c>
      <c r="J620" s="13" t="n">
        <f aca="false">G620*H620</f>
        <v>1120</v>
      </c>
      <c r="K620" s="13" t="n">
        <f aca="false">J620-G620*I620</f>
        <v>360</v>
      </c>
    </row>
    <row r="621" customFormat="false" ht="15" hidden="false" customHeight="false" outlineLevel="0" collapsed="false">
      <c r="A621" s="10" t="s">
        <v>664</v>
      </c>
      <c r="B621" s="11" t="n">
        <v>46025</v>
      </c>
      <c r="C621" s="10" t="s">
        <v>36</v>
      </c>
      <c r="D621" s="10" t="s">
        <v>29</v>
      </c>
      <c r="E621" s="10" t="s">
        <v>57</v>
      </c>
      <c r="F621" s="10" t="s">
        <v>26</v>
      </c>
      <c r="G621" s="10" t="n">
        <v>2</v>
      </c>
      <c r="H621" s="12" t="n">
        <v>380</v>
      </c>
      <c r="I621" s="12" t="n">
        <v>260</v>
      </c>
      <c r="J621" s="13" t="n">
        <f aca="false">G621*H621</f>
        <v>760</v>
      </c>
      <c r="K621" s="13" t="n">
        <f aca="false">J621-G621*I621</f>
        <v>240</v>
      </c>
    </row>
    <row r="622" customFormat="false" ht="15" hidden="false" customHeight="false" outlineLevel="0" collapsed="false">
      <c r="A622" s="10" t="s">
        <v>665</v>
      </c>
      <c r="B622" s="11" t="n">
        <v>46026</v>
      </c>
      <c r="C622" s="10" t="s">
        <v>51</v>
      </c>
      <c r="D622" s="10" t="s">
        <v>42</v>
      </c>
      <c r="E622" s="10" t="s">
        <v>25</v>
      </c>
      <c r="F622" s="10" t="s">
        <v>26</v>
      </c>
      <c r="G622" s="10" t="n">
        <v>2</v>
      </c>
      <c r="H622" s="12" t="n">
        <v>130</v>
      </c>
      <c r="I622" s="12" t="n">
        <v>60</v>
      </c>
      <c r="J622" s="13" t="n">
        <f aca="false">G622*H622</f>
        <v>260</v>
      </c>
      <c r="K622" s="13" t="n">
        <f aca="false">J622-G622*I622</f>
        <v>140</v>
      </c>
    </row>
    <row r="623" customFormat="false" ht="15" hidden="false" customHeight="false" outlineLevel="0" collapsed="false">
      <c r="A623" s="10" t="s">
        <v>666</v>
      </c>
      <c r="B623" s="11" t="n">
        <v>46027</v>
      </c>
      <c r="C623" s="10" t="s">
        <v>84</v>
      </c>
      <c r="D623" s="10" t="s">
        <v>42</v>
      </c>
      <c r="E623" s="10" t="s">
        <v>38</v>
      </c>
      <c r="F623" s="10" t="s">
        <v>26</v>
      </c>
      <c r="G623" s="10" t="n">
        <v>1</v>
      </c>
      <c r="H623" s="12" t="n">
        <v>480</v>
      </c>
      <c r="I623" s="12" t="n">
        <v>220</v>
      </c>
      <c r="J623" s="13" t="n">
        <f aca="false">G623*H623</f>
        <v>480</v>
      </c>
      <c r="K623" s="13" t="n">
        <f aca="false">J623-G623*I623</f>
        <v>260</v>
      </c>
    </row>
    <row r="624" customFormat="false" ht="15" hidden="false" customHeight="false" outlineLevel="0" collapsed="false">
      <c r="A624" s="10" t="s">
        <v>667</v>
      </c>
      <c r="B624" s="11" t="n">
        <v>46028</v>
      </c>
      <c r="C624" s="10" t="s">
        <v>67</v>
      </c>
      <c r="D624" s="10" t="s">
        <v>68</v>
      </c>
      <c r="E624" s="10" t="s">
        <v>30</v>
      </c>
      <c r="F624" s="10" t="s">
        <v>26</v>
      </c>
      <c r="G624" s="10" t="n">
        <v>2</v>
      </c>
      <c r="H624" s="12" t="n">
        <v>2600</v>
      </c>
      <c r="I624" s="12" t="n">
        <v>2100</v>
      </c>
      <c r="J624" s="13" t="n">
        <f aca="false">G624*H624</f>
        <v>5200</v>
      </c>
      <c r="K624" s="13" t="n">
        <f aca="false">J624-G624*I624</f>
        <v>1000</v>
      </c>
    </row>
    <row r="625" customFormat="false" ht="15" hidden="false" customHeight="false" outlineLevel="0" collapsed="false">
      <c r="A625" s="10" t="s">
        <v>668</v>
      </c>
      <c r="B625" s="11" t="n">
        <v>46028</v>
      </c>
      <c r="C625" s="10" t="s">
        <v>49</v>
      </c>
      <c r="D625" s="10" t="s">
        <v>24</v>
      </c>
      <c r="E625" s="10" t="s">
        <v>30</v>
      </c>
      <c r="F625" s="10" t="s">
        <v>34</v>
      </c>
      <c r="G625" s="10" t="n">
        <v>4</v>
      </c>
      <c r="H625" s="12" t="n">
        <v>250</v>
      </c>
      <c r="I625" s="12" t="n">
        <v>170</v>
      </c>
      <c r="J625" s="13" t="n">
        <f aca="false">G625*H625</f>
        <v>1000</v>
      </c>
      <c r="K625" s="13" t="n">
        <f aca="false">J625-G625*I625</f>
        <v>320</v>
      </c>
    </row>
    <row r="626" customFormat="false" ht="15" hidden="false" customHeight="false" outlineLevel="0" collapsed="false">
      <c r="A626" s="10" t="s">
        <v>669</v>
      </c>
      <c r="B626" s="11" t="n">
        <v>46029</v>
      </c>
      <c r="C626" s="10" t="s">
        <v>84</v>
      </c>
      <c r="D626" s="10" t="s">
        <v>42</v>
      </c>
      <c r="E626" s="10" t="s">
        <v>33</v>
      </c>
      <c r="F626" s="10" t="s">
        <v>34</v>
      </c>
      <c r="G626" s="10" t="n">
        <v>1</v>
      </c>
      <c r="H626" s="12" t="n">
        <v>480</v>
      </c>
      <c r="I626" s="12" t="n">
        <v>220</v>
      </c>
      <c r="J626" s="13" t="n">
        <f aca="false">G626*H626</f>
        <v>480</v>
      </c>
      <c r="K626" s="13" t="n">
        <f aca="false">J626-G626*I626</f>
        <v>260</v>
      </c>
    </row>
    <row r="627" customFormat="false" ht="15" hidden="false" customHeight="false" outlineLevel="0" collapsed="false">
      <c r="A627" s="10" t="s">
        <v>670</v>
      </c>
      <c r="B627" s="11" t="n">
        <v>46031</v>
      </c>
      <c r="C627" s="10" t="s">
        <v>41</v>
      </c>
      <c r="D627" s="10" t="s">
        <v>42</v>
      </c>
      <c r="E627" s="10" t="s">
        <v>33</v>
      </c>
      <c r="F627" s="10" t="s">
        <v>26</v>
      </c>
      <c r="G627" s="10" t="n">
        <v>1</v>
      </c>
      <c r="H627" s="12" t="n">
        <v>45</v>
      </c>
      <c r="I627" s="12" t="n">
        <v>20</v>
      </c>
      <c r="J627" s="13" t="n">
        <f aca="false">G627*H627</f>
        <v>45</v>
      </c>
      <c r="K627" s="13" t="n">
        <f aca="false">J627-G627*I627</f>
        <v>25</v>
      </c>
    </row>
    <row r="628" customFormat="false" ht="15" hidden="false" customHeight="false" outlineLevel="0" collapsed="false">
      <c r="A628" s="10" t="s">
        <v>671</v>
      </c>
      <c r="B628" s="11" t="n">
        <v>46031</v>
      </c>
      <c r="C628" s="10" t="s">
        <v>23</v>
      </c>
      <c r="D628" s="10" t="s">
        <v>24</v>
      </c>
      <c r="E628" s="10" t="s">
        <v>30</v>
      </c>
      <c r="F628" s="10" t="s">
        <v>34</v>
      </c>
      <c r="G628" s="10" t="n">
        <v>1</v>
      </c>
      <c r="H628" s="12" t="n">
        <v>260</v>
      </c>
      <c r="I628" s="12" t="n">
        <v>180</v>
      </c>
      <c r="J628" s="13" t="n">
        <f aca="false">G628*H628</f>
        <v>260</v>
      </c>
      <c r="K628" s="13" t="n">
        <f aca="false">J628-G628*I628</f>
        <v>80</v>
      </c>
    </row>
    <row r="629" customFormat="false" ht="15" hidden="false" customHeight="false" outlineLevel="0" collapsed="false">
      <c r="A629" s="10" t="s">
        <v>672</v>
      </c>
      <c r="B629" s="11" t="n">
        <v>46032</v>
      </c>
      <c r="C629" s="10" t="s">
        <v>36</v>
      </c>
      <c r="D629" s="10" t="s">
        <v>29</v>
      </c>
      <c r="E629" s="10" t="s">
        <v>38</v>
      </c>
      <c r="F629" s="10" t="s">
        <v>34</v>
      </c>
      <c r="G629" s="10" t="n">
        <v>1</v>
      </c>
      <c r="H629" s="12" t="n">
        <v>380</v>
      </c>
      <c r="I629" s="12" t="n">
        <v>260</v>
      </c>
      <c r="J629" s="13" t="n">
        <f aca="false">G629*H629</f>
        <v>380</v>
      </c>
      <c r="K629" s="13" t="n">
        <f aca="false">J629-G629*I629</f>
        <v>120</v>
      </c>
    </row>
    <row r="630" customFormat="false" ht="15" hidden="false" customHeight="false" outlineLevel="0" collapsed="false">
      <c r="A630" s="10" t="s">
        <v>673</v>
      </c>
      <c r="B630" s="11" t="n">
        <v>46032</v>
      </c>
      <c r="C630" s="10" t="s">
        <v>67</v>
      </c>
      <c r="D630" s="10" t="s">
        <v>68</v>
      </c>
      <c r="E630" s="10" t="s">
        <v>30</v>
      </c>
      <c r="F630" s="10" t="s">
        <v>26</v>
      </c>
      <c r="G630" s="10" t="n">
        <v>2</v>
      </c>
      <c r="H630" s="12" t="n">
        <v>2600</v>
      </c>
      <c r="I630" s="12" t="n">
        <v>2100</v>
      </c>
      <c r="J630" s="13" t="n">
        <f aca="false">G630*H630</f>
        <v>5200</v>
      </c>
      <c r="K630" s="13" t="n">
        <f aca="false">J630-G630*I630</f>
        <v>1000</v>
      </c>
    </row>
    <row r="631" customFormat="false" ht="15" hidden="false" customHeight="false" outlineLevel="0" collapsed="false">
      <c r="A631" s="10" t="s">
        <v>674</v>
      </c>
      <c r="B631" s="11" t="n">
        <v>46033</v>
      </c>
      <c r="C631" s="10" t="s">
        <v>32</v>
      </c>
      <c r="D631" s="10" t="s">
        <v>29</v>
      </c>
      <c r="E631" s="10" t="s">
        <v>30</v>
      </c>
      <c r="F631" s="10" t="s">
        <v>26</v>
      </c>
      <c r="G631" s="10" t="n">
        <v>3</v>
      </c>
      <c r="H631" s="12" t="n">
        <v>520</v>
      </c>
      <c r="I631" s="12" t="n">
        <v>300</v>
      </c>
      <c r="J631" s="13" t="n">
        <f aca="false">G631*H631</f>
        <v>1560</v>
      </c>
      <c r="K631" s="13" t="n">
        <f aca="false">J631-G631*I631</f>
        <v>660</v>
      </c>
    </row>
    <row r="632" customFormat="false" ht="15" hidden="false" customHeight="false" outlineLevel="0" collapsed="false">
      <c r="A632" s="10" t="s">
        <v>675</v>
      </c>
      <c r="B632" s="11" t="n">
        <v>46033</v>
      </c>
      <c r="C632" s="10" t="s">
        <v>32</v>
      </c>
      <c r="D632" s="10" t="s">
        <v>29</v>
      </c>
      <c r="E632" s="10" t="s">
        <v>38</v>
      </c>
      <c r="F632" s="10" t="s">
        <v>26</v>
      </c>
      <c r="G632" s="10" t="n">
        <v>2</v>
      </c>
      <c r="H632" s="12" t="n">
        <v>520</v>
      </c>
      <c r="I632" s="12" t="n">
        <v>300</v>
      </c>
      <c r="J632" s="13" t="n">
        <f aca="false">G632*H632</f>
        <v>1040</v>
      </c>
      <c r="K632" s="13" t="n">
        <f aca="false">J632-G632*I632</f>
        <v>440</v>
      </c>
    </row>
    <row r="633" customFormat="false" ht="15" hidden="false" customHeight="false" outlineLevel="0" collapsed="false">
      <c r="A633" s="10" t="s">
        <v>676</v>
      </c>
      <c r="B633" s="11" t="n">
        <v>46034</v>
      </c>
      <c r="C633" s="10" t="s">
        <v>53</v>
      </c>
      <c r="D633" s="10" t="s">
        <v>24</v>
      </c>
      <c r="E633" s="10" t="s">
        <v>25</v>
      </c>
      <c r="F633" s="10" t="s">
        <v>26</v>
      </c>
      <c r="G633" s="10" t="n">
        <v>1</v>
      </c>
      <c r="H633" s="12" t="n">
        <v>300</v>
      </c>
      <c r="I633" s="12" t="n">
        <v>200</v>
      </c>
      <c r="J633" s="13" t="n">
        <f aca="false">G633*H633</f>
        <v>300</v>
      </c>
      <c r="K633" s="13" t="n">
        <f aca="false">J633-G633*I633</f>
        <v>100</v>
      </c>
    </row>
    <row r="634" customFormat="false" ht="15" hidden="false" customHeight="false" outlineLevel="0" collapsed="false">
      <c r="A634" s="10" t="s">
        <v>677</v>
      </c>
      <c r="B634" s="11" t="n">
        <v>46035</v>
      </c>
      <c r="C634" s="10" t="s">
        <v>28</v>
      </c>
      <c r="D634" s="10" t="s">
        <v>29</v>
      </c>
      <c r="E634" s="10" t="s">
        <v>38</v>
      </c>
      <c r="F634" s="10" t="s">
        <v>34</v>
      </c>
      <c r="G634" s="10" t="n">
        <v>2</v>
      </c>
      <c r="H634" s="12" t="n">
        <v>450</v>
      </c>
      <c r="I634" s="12" t="n">
        <v>280</v>
      </c>
      <c r="J634" s="13" t="n">
        <f aca="false">G634*H634</f>
        <v>900</v>
      </c>
      <c r="K634" s="13" t="n">
        <f aca="false">J634-G634*I634</f>
        <v>340</v>
      </c>
    </row>
    <row r="635" customFormat="false" ht="15" hidden="false" customHeight="false" outlineLevel="0" collapsed="false">
      <c r="A635" s="10" t="s">
        <v>678</v>
      </c>
      <c r="B635" s="11" t="n">
        <v>46036</v>
      </c>
      <c r="C635" s="10" t="s">
        <v>67</v>
      </c>
      <c r="D635" s="10" t="s">
        <v>68</v>
      </c>
      <c r="E635" s="10" t="s">
        <v>33</v>
      </c>
      <c r="F635" s="10" t="s">
        <v>26</v>
      </c>
      <c r="G635" s="10" t="n">
        <v>2</v>
      </c>
      <c r="H635" s="12" t="n">
        <v>2600</v>
      </c>
      <c r="I635" s="12" t="n">
        <v>2100</v>
      </c>
      <c r="J635" s="13" t="n">
        <f aca="false">G635*H635</f>
        <v>5200</v>
      </c>
      <c r="K635" s="13" t="n">
        <f aca="false">J635-G635*I635</f>
        <v>1000</v>
      </c>
    </row>
    <row r="636" customFormat="false" ht="15" hidden="false" customHeight="false" outlineLevel="0" collapsed="false">
      <c r="A636" s="10" t="s">
        <v>679</v>
      </c>
      <c r="B636" s="11" t="n">
        <v>46037</v>
      </c>
      <c r="C636" s="10" t="s">
        <v>49</v>
      </c>
      <c r="D636" s="10" t="s">
        <v>24</v>
      </c>
      <c r="E636" s="10" t="s">
        <v>38</v>
      </c>
      <c r="F636" s="10" t="s">
        <v>34</v>
      </c>
      <c r="G636" s="10" t="n">
        <v>2</v>
      </c>
      <c r="H636" s="12" t="n">
        <v>250</v>
      </c>
      <c r="I636" s="12" t="n">
        <v>170</v>
      </c>
      <c r="J636" s="13" t="n">
        <f aca="false">G636*H636</f>
        <v>500</v>
      </c>
      <c r="K636" s="13" t="n">
        <f aca="false">J636-G636*I636</f>
        <v>160</v>
      </c>
    </row>
    <row r="637" customFormat="false" ht="15" hidden="false" customHeight="false" outlineLevel="0" collapsed="false">
      <c r="A637" s="10" t="s">
        <v>680</v>
      </c>
      <c r="B637" s="11" t="n">
        <v>46037</v>
      </c>
      <c r="C637" s="10" t="s">
        <v>28</v>
      </c>
      <c r="D637" s="10" t="s">
        <v>29</v>
      </c>
      <c r="E637" s="10" t="s">
        <v>33</v>
      </c>
      <c r="F637" s="10" t="s">
        <v>34</v>
      </c>
      <c r="G637" s="10" t="n">
        <v>3</v>
      </c>
      <c r="H637" s="12" t="n">
        <v>450</v>
      </c>
      <c r="I637" s="12" t="n">
        <v>280</v>
      </c>
      <c r="J637" s="13" t="n">
        <f aca="false">G637*H637</f>
        <v>1350</v>
      </c>
      <c r="K637" s="13" t="n">
        <f aca="false">J637-G637*I637</f>
        <v>510</v>
      </c>
    </row>
    <row r="638" customFormat="false" ht="15" hidden="false" customHeight="false" outlineLevel="0" collapsed="false">
      <c r="A638" s="10" t="s">
        <v>681</v>
      </c>
      <c r="B638" s="11" t="n">
        <v>46037</v>
      </c>
      <c r="C638" s="10" t="s">
        <v>32</v>
      </c>
      <c r="D638" s="10" t="s">
        <v>29</v>
      </c>
      <c r="E638" s="10" t="s">
        <v>25</v>
      </c>
      <c r="F638" s="10" t="s">
        <v>26</v>
      </c>
      <c r="G638" s="10" t="n">
        <v>1</v>
      </c>
      <c r="H638" s="12" t="n">
        <v>520</v>
      </c>
      <c r="I638" s="12" t="n">
        <v>300</v>
      </c>
      <c r="J638" s="13" t="n">
        <f aca="false">G638*H638</f>
        <v>520</v>
      </c>
      <c r="K638" s="13" t="n">
        <f aca="false">J638-G638*I638</f>
        <v>220</v>
      </c>
    </row>
    <row r="639" customFormat="false" ht="15" hidden="false" customHeight="false" outlineLevel="0" collapsed="false">
      <c r="A639" s="10" t="s">
        <v>682</v>
      </c>
      <c r="B639" s="11" t="n">
        <v>46037</v>
      </c>
      <c r="C639" s="10" t="s">
        <v>28</v>
      </c>
      <c r="D639" s="10" t="s">
        <v>29</v>
      </c>
      <c r="E639" s="10" t="s">
        <v>38</v>
      </c>
      <c r="F639" s="10" t="s">
        <v>26</v>
      </c>
      <c r="G639" s="10" t="n">
        <v>4</v>
      </c>
      <c r="H639" s="12" t="n">
        <v>450</v>
      </c>
      <c r="I639" s="12" t="n">
        <v>280</v>
      </c>
      <c r="J639" s="13" t="n">
        <f aca="false">G639*H639</f>
        <v>1800</v>
      </c>
      <c r="K639" s="13" t="n">
        <f aca="false">J639-G639*I639</f>
        <v>680</v>
      </c>
    </row>
    <row r="640" customFormat="false" ht="15" hidden="false" customHeight="false" outlineLevel="0" collapsed="false">
      <c r="A640" s="10" t="s">
        <v>683</v>
      </c>
      <c r="B640" s="11" t="n">
        <v>46038</v>
      </c>
      <c r="C640" s="10" t="s">
        <v>36</v>
      </c>
      <c r="D640" s="10" t="s">
        <v>29</v>
      </c>
      <c r="E640" s="10" t="s">
        <v>33</v>
      </c>
      <c r="F640" s="10" t="s">
        <v>26</v>
      </c>
      <c r="G640" s="10" t="n">
        <v>1</v>
      </c>
      <c r="H640" s="12" t="n">
        <v>380</v>
      </c>
      <c r="I640" s="12" t="n">
        <v>260</v>
      </c>
      <c r="J640" s="13" t="n">
        <f aca="false">G640*H640</f>
        <v>380</v>
      </c>
      <c r="K640" s="13" t="n">
        <f aca="false">J640-G640*I640</f>
        <v>120</v>
      </c>
    </row>
    <row r="641" customFormat="false" ht="15" hidden="false" customHeight="false" outlineLevel="0" collapsed="false">
      <c r="A641" s="10" t="s">
        <v>684</v>
      </c>
      <c r="B641" s="11" t="n">
        <v>46039</v>
      </c>
      <c r="C641" s="10" t="s">
        <v>28</v>
      </c>
      <c r="D641" s="10" t="s">
        <v>29</v>
      </c>
      <c r="E641" s="10" t="s">
        <v>33</v>
      </c>
      <c r="F641" s="10" t="s">
        <v>26</v>
      </c>
      <c r="G641" s="10" t="n">
        <v>2</v>
      </c>
      <c r="H641" s="12" t="n">
        <v>450</v>
      </c>
      <c r="I641" s="12" t="n">
        <v>280</v>
      </c>
      <c r="J641" s="13" t="n">
        <f aca="false">G641*H641</f>
        <v>900</v>
      </c>
      <c r="K641" s="13" t="n">
        <f aca="false">J641-G641*I641</f>
        <v>340</v>
      </c>
    </row>
    <row r="642" customFormat="false" ht="15" hidden="false" customHeight="false" outlineLevel="0" collapsed="false">
      <c r="A642" s="10" t="s">
        <v>685</v>
      </c>
      <c r="B642" s="11" t="n">
        <v>46039</v>
      </c>
      <c r="C642" s="10" t="s">
        <v>28</v>
      </c>
      <c r="D642" s="10" t="s">
        <v>29</v>
      </c>
      <c r="E642" s="10" t="s">
        <v>38</v>
      </c>
      <c r="F642" s="10" t="s">
        <v>26</v>
      </c>
      <c r="G642" s="10" t="n">
        <v>3</v>
      </c>
      <c r="H642" s="12" t="n">
        <v>450</v>
      </c>
      <c r="I642" s="12" t="n">
        <v>280</v>
      </c>
      <c r="J642" s="13" t="n">
        <f aca="false">G642*H642</f>
        <v>1350</v>
      </c>
      <c r="K642" s="13" t="n">
        <f aca="false">J642-G642*I642</f>
        <v>510</v>
      </c>
    </row>
    <row r="643" customFormat="false" ht="15" hidden="false" customHeight="false" outlineLevel="0" collapsed="false">
      <c r="A643" s="10" t="s">
        <v>686</v>
      </c>
      <c r="B643" s="11" t="n">
        <v>46040</v>
      </c>
      <c r="C643" s="10" t="s">
        <v>36</v>
      </c>
      <c r="D643" s="10" t="s">
        <v>29</v>
      </c>
      <c r="E643" s="10" t="s">
        <v>38</v>
      </c>
      <c r="F643" s="10" t="s">
        <v>34</v>
      </c>
      <c r="G643" s="10" t="n">
        <v>3</v>
      </c>
      <c r="H643" s="12" t="n">
        <v>380</v>
      </c>
      <c r="I643" s="12" t="n">
        <v>260</v>
      </c>
      <c r="J643" s="13" t="n">
        <f aca="false">G643*H643</f>
        <v>1140</v>
      </c>
      <c r="K643" s="13" t="n">
        <f aca="false">J643-G643*I643</f>
        <v>360</v>
      </c>
    </row>
    <row r="644" customFormat="false" ht="15" hidden="false" customHeight="false" outlineLevel="0" collapsed="false">
      <c r="A644" s="10" t="s">
        <v>687</v>
      </c>
      <c r="B644" s="11" t="n">
        <v>46040</v>
      </c>
      <c r="C644" s="10" t="s">
        <v>51</v>
      </c>
      <c r="D644" s="10" t="s">
        <v>42</v>
      </c>
      <c r="E644" s="10" t="s">
        <v>25</v>
      </c>
      <c r="F644" s="10" t="s">
        <v>26</v>
      </c>
      <c r="G644" s="10" t="n">
        <v>4</v>
      </c>
      <c r="H644" s="12" t="n">
        <v>130</v>
      </c>
      <c r="I644" s="12" t="n">
        <v>60</v>
      </c>
      <c r="J644" s="13" t="n">
        <f aca="false">G644*H644</f>
        <v>520</v>
      </c>
      <c r="K644" s="13" t="n">
        <f aca="false">J644-G644*I644</f>
        <v>280</v>
      </c>
    </row>
    <row r="645" customFormat="false" ht="15" hidden="false" customHeight="false" outlineLevel="0" collapsed="false">
      <c r="A645" s="10" t="s">
        <v>688</v>
      </c>
      <c r="B645" s="11" t="n">
        <v>46041</v>
      </c>
      <c r="C645" s="10" t="s">
        <v>32</v>
      </c>
      <c r="D645" s="10" t="s">
        <v>29</v>
      </c>
      <c r="E645" s="10" t="s">
        <v>33</v>
      </c>
      <c r="F645" s="10" t="s">
        <v>26</v>
      </c>
      <c r="G645" s="10" t="n">
        <v>1</v>
      </c>
      <c r="H645" s="12" t="n">
        <v>520</v>
      </c>
      <c r="I645" s="12" t="n">
        <v>300</v>
      </c>
      <c r="J645" s="13" t="n">
        <f aca="false">G645*H645</f>
        <v>520</v>
      </c>
      <c r="K645" s="13" t="n">
        <f aca="false">J645-G645*I645</f>
        <v>220</v>
      </c>
    </row>
    <row r="646" customFormat="false" ht="15" hidden="false" customHeight="false" outlineLevel="0" collapsed="false">
      <c r="A646" s="10" t="s">
        <v>689</v>
      </c>
      <c r="B646" s="11" t="n">
        <v>46041</v>
      </c>
      <c r="C646" s="10" t="s">
        <v>53</v>
      </c>
      <c r="D646" s="10" t="s">
        <v>24</v>
      </c>
      <c r="E646" s="10" t="s">
        <v>30</v>
      </c>
      <c r="F646" s="10" t="s">
        <v>34</v>
      </c>
      <c r="G646" s="10" t="n">
        <v>2</v>
      </c>
      <c r="H646" s="12" t="n">
        <v>300</v>
      </c>
      <c r="I646" s="12" t="n">
        <v>200</v>
      </c>
      <c r="J646" s="13" t="n">
        <f aca="false">G646*H646</f>
        <v>600</v>
      </c>
      <c r="K646" s="13" t="n">
        <f aca="false">J646-G646*I646</f>
        <v>200</v>
      </c>
    </row>
    <row r="647" customFormat="false" ht="15" hidden="false" customHeight="false" outlineLevel="0" collapsed="false">
      <c r="A647" s="10" t="s">
        <v>690</v>
      </c>
      <c r="B647" s="11" t="n">
        <v>46041</v>
      </c>
      <c r="C647" s="10" t="s">
        <v>32</v>
      </c>
      <c r="D647" s="10" t="s">
        <v>29</v>
      </c>
      <c r="E647" s="10" t="s">
        <v>38</v>
      </c>
      <c r="F647" s="10" t="s">
        <v>26</v>
      </c>
      <c r="G647" s="10" t="n">
        <v>2</v>
      </c>
      <c r="H647" s="12" t="n">
        <v>520</v>
      </c>
      <c r="I647" s="12" t="n">
        <v>300</v>
      </c>
      <c r="J647" s="13" t="n">
        <f aca="false">G647*H647</f>
        <v>1040</v>
      </c>
      <c r="K647" s="13" t="n">
        <f aca="false">J647-G647*I647</f>
        <v>440</v>
      </c>
    </row>
    <row r="648" customFormat="false" ht="15" hidden="false" customHeight="false" outlineLevel="0" collapsed="false">
      <c r="A648" s="10" t="s">
        <v>691</v>
      </c>
      <c r="B648" s="11" t="n">
        <v>46042</v>
      </c>
      <c r="C648" s="10" t="s">
        <v>23</v>
      </c>
      <c r="D648" s="10" t="s">
        <v>24</v>
      </c>
      <c r="E648" s="10" t="s">
        <v>38</v>
      </c>
      <c r="F648" s="10" t="s">
        <v>34</v>
      </c>
      <c r="G648" s="10" t="n">
        <v>4</v>
      </c>
      <c r="H648" s="12" t="n">
        <v>260</v>
      </c>
      <c r="I648" s="12" t="n">
        <v>180</v>
      </c>
      <c r="J648" s="13" t="n">
        <f aca="false">G648*H648</f>
        <v>1040</v>
      </c>
      <c r="K648" s="13" t="n">
        <f aca="false">J648-G648*I648</f>
        <v>320</v>
      </c>
    </row>
    <row r="649" customFormat="false" ht="15" hidden="false" customHeight="false" outlineLevel="0" collapsed="false">
      <c r="A649" s="10" t="s">
        <v>692</v>
      </c>
      <c r="B649" s="11" t="n">
        <v>46043</v>
      </c>
      <c r="C649" s="10" t="s">
        <v>84</v>
      </c>
      <c r="D649" s="10" t="s">
        <v>42</v>
      </c>
      <c r="E649" s="10" t="s">
        <v>33</v>
      </c>
      <c r="F649" s="10" t="s">
        <v>26</v>
      </c>
      <c r="G649" s="10" t="n">
        <v>4</v>
      </c>
      <c r="H649" s="12" t="n">
        <v>480</v>
      </c>
      <c r="I649" s="12" t="n">
        <v>220</v>
      </c>
      <c r="J649" s="13" t="n">
        <f aca="false">G649*H649</f>
        <v>1920</v>
      </c>
      <c r="K649" s="13" t="n">
        <f aca="false">J649-G649*I649</f>
        <v>1040</v>
      </c>
    </row>
    <row r="650" customFormat="false" ht="15" hidden="false" customHeight="false" outlineLevel="0" collapsed="false">
      <c r="A650" s="10" t="s">
        <v>693</v>
      </c>
      <c r="B650" s="11" t="n">
        <v>46043</v>
      </c>
      <c r="C650" s="10" t="s">
        <v>36</v>
      </c>
      <c r="D650" s="10" t="s">
        <v>29</v>
      </c>
      <c r="E650" s="10" t="s">
        <v>38</v>
      </c>
      <c r="F650" s="10" t="s">
        <v>26</v>
      </c>
      <c r="G650" s="10" t="n">
        <v>2</v>
      </c>
      <c r="H650" s="12" t="n">
        <v>380</v>
      </c>
      <c r="I650" s="12" t="n">
        <v>260</v>
      </c>
      <c r="J650" s="13" t="n">
        <f aca="false">G650*H650</f>
        <v>760</v>
      </c>
      <c r="K650" s="13" t="n">
        <f aca="false">J650-G650*I650</f>
        <v>240</v>
      </c>
    </row>
    <row r="651" customFormat="false" ht="15" hidden="false" customHeight="false" outlineLevel="0" collapsed="false">
      <c r="A651" s="10" t="s">
        <v>694</v>
      </c>
      <c r="B651" s="11" t="n">
        <v>46045</v>
      </c>
      <c r="C651" s="10" t="s">
        <v>55</v>
      </c>
      <c r="D651" s="10" t="s">
        <v>24</v>
      </c>
      <c r="E651" s="10" t="s">
        <v>25</v>
      </c>
      <c r="F651" s="10" t="s">
        <v>26</v>
      </c>
      <c r="G651" s="10" t="n">
        <v>1</v>
      </c>
      <c r="H651" s="12" t="n">
        <v>280</v>
      </c>
      <c r="I651" s="12" t="n">
        <v>190</v>
      </c>
      <c r="J651" s="13" t="n">
        <f aca="false">G651*H651</f>
        <v>280</v>
      </c>
      <c r="K651" s="13" t="n">
        <f aca="false">J651-G651*I651</f>
        <v>90</v>
      </c>
    </row>
    <row r="652" customFormat="false" ht="15" hidden="false" customHeight="false" outlineLevel="0" collapsed="false">
      <c r="A652" s="10" t="s">
        <v>695</v>
      </c>
      <c r="B652" s="11" t="n">
        <v>46045</v>
      </c>
      <c r="C652" s="10" t="s">
        <v>32</v>
      </c>
      <c r="D652" s="10" t="s">
        <v>29</v>
      </c>
      <c r="E652" s="10" t="s">
        <v>38</v>
      </c>
      <c r="F652" s="10" t="s">
        <v>26</v>
      </c>
      <c r="G652" s="10" t="n">
        <v>1</v>
      </c>
      <c r="H652" s="12" t="n">
        <v>520</v>
      </c>
      <c r="I652" s="12" t="n">
        <v>300</v>
      </c>
      <c r="J652" s="13" t="n">
        <f aca="false">G652*H652</f>
        <v>520</v>
      </c>
      <c r="K652" s="13" t="n">
        <f aca="false">J652-G652*I652</f>
        <v>220</v>
      </c>
    </row>
    <row r="653" customFormat="false" ht="15" hidden="false" customHeight="false" outlineLevel="0" collapsed="false">
      <c r="A653" s="10" t="s">
        <v>696</v>
      </c>
      <c r="B653" s="11" t="n">
        <v>46046</v>
      </c>
      <c r="C653" s="10" t="s">
        <v>84</v>
      </c>
      <c r="D653" s="10" t="s">
        <v>42</v>
      </c>
      <c r="E653" s="10" t="s">
        <v>30</v>
      </c>
      <c r="F653" s="10" t="s">
        <v>34</v>
      </c>
      <c r="G653" s="10" t="n">
        <v>2</v>
      </c>
      <c r="H653" s="12" t="n">
        <v>480</v>
      </c>
      <c r="I653" s="12" t="n">
        <v>220</v>
      </c>
      <c r="J653" s="13" t="n">
        <f aca="false">G653*H653</f>
        <v>960</v>
      </c>
      <c r="K653" s="13" t="n">
        <f aca="false">J653-G653*I653</f>
        <v>520</v>
      </c>
    </row>
    <row r="654" customFormat="false" ht="15" hidden="false" customHeight="false" outlineLevel="0" collapsed="false">
      <c r="A654" s="10" t="s">
        <v>697</v>
      </c>
      <c r="B654" s="11" t="n">
        <v>46047</v>
      </c>
      <c r="C654" s="10" t="s">
        <v>84</v>
      </c>
      <c r="D654" s="10" t="s">
        <v>42</v>
      </c>
      <c r="E654" s="10" t="s">
        <v>30</v>
      </c>
      <c r="F654" s="10" t="s">
        <v>26</v>
      </c>
      <c r="G654" s="10" t="n">
        <v>2</v>
      </c>
      <c r="H654" s="12" t="n">
        <v>480</v>
      </c>
      <c r="I654" s="12" t="n">
        <v>220</v>
      </c>
      <c r="J654" s="13" t="n">
        <f aca="false">G654*H654</f>
        <v>960</v>
      </c>
      <c r="K654" s="13" t="n">
        <f aca="false">J654-G654*I654</f>
        <v>520</v>
      </c>
    </row>
    <row r="655" customFormat="false" ht="15" hidden="false" customHeight="false" outlineLevel="0" collapsed="false">
      <c r="A655" s="10" t="s">
        <v>698</v>
      </c>
      <c r="B655" s="11" t="n">
        <v>46048</v>
      </c>
      <c r="C655" s="10" t="s">
        <v>41</v>
      </c>
      <c r="D655" s="10" t="s">
        <v>42</v>
      </c>
      <c r="E655" s="10" t="s">
        <v>38</v>
      </c>
      <c r="F655" s="10" t="s">
        <v>26</v>
      </c>
      <c r="G655" s="10" t="n">
        <v>3</v>
      </c>
      <c r="H655" s="12" t="n">
        <v>45</v>
      </c>
      <c r="I655" s="12" t="n">
        <v>20</v>
      </c>
      <c r="J655" s="13" t="n">
        <f aca="false">G655*H655</f>
        <v>135</v>
      </c>
      <c r="K655" s="13" t="n">
        <f aca="false">J655-G655*I655</f>
        <v>75</v>
      </c>
    </row>
    <row r="656" customFormat="false" ht="15" hidden="false" customHeight="false" outlineLevel="0" collapsed="false">
      <c r="A656" s="10" t="s">
        <v>699</v>
      </c>
      <c r="B656" s="11" t="n">
        <v>46048</v>
      </c>
      <c r="C656" s="10" t="s">
        <v>41</v>
      </c>
      <c r="D656" s="10" t="s">
        <v>42</v>
      </c>
      <c r="E656" s="10" t="s">
        <v>25</v>
      </c>
      <c r="F656" s="10" t="s">
        <v>34</v>
      </c>
      <c r="G656" s="10" t="n">
        <v>4</v>
      </c>
      <c r="H656" s="12" t="n">
        <v>45</v>
      </c>
      <c r="I656" s="12" t="n">
        <v>20</v>
      </c>
      <c r="J656" s="13" t="n">
        <f aca="false">G656*H656</f>
        <v>180</v>
      </c>
      <c r="K656" s="13" t="n">
        <f aca="false">J656-G656*I656</f>
        <v>100</v>
      </c>
    </row>
    <row r="657" customFormat="false" ht="15" hidden="false" customHeight="false" outlineLevel="0" collapsed="false">
      <c r="A657" s="10" t="s">
        <v>700</v>
      </c>
      <c r="B657" s="11" t="n">
        <v>46049</v>
      </c>
      <c r="C657" s="10" t="s">
        <v>67</v>
      </c>
      <c r="D657" s="10" t="s">
        <v>68</v>
      </c>
      <c r="E657" s="10" t="s">
        <v>30</v>
      </c>
      <c r="F657" s="10" t="s">
        <v>26</v>
      </c>
      <c r="G657" s="10" t="n">
        <v>1</v>
      </c>
      <c r="H657" s="12" t="n">
        <v>2600</v>
      </c>
      <c r="I657" s="12" t="n">
        <v>2100</v>
      </c>
      <c r="J657" s="13" t="n">
        <f aca="false">G657*H657</f>
        <v>2600</v>
      </c>
      <c r="K657" s="13" t="n">
        <f aca="false">J657-G657*I657</f>
        <v>500</v>
      </c>
    </row>
    <row r="658" customFormat="false" ht="15" hidden="false" customHeight="false" outlineLevel="0" collapsed="false">
      <c r="A658" s="10" t="s">
        <v>701</v>
      </c>
      <c r="B658" s="11" t="n">
        <v>46049</v>
      </c>
      <c r="C658" s="10" t="s">
        <v>101</v>
      </c>
      <c r="D658" s="10" t="s">
        <v>68</v>
      </c>
      <c r="E658" s="10" t="s">
        <v>30</v>
      </c>
      <c r="F658" s="10" t="s">
        <v>34</v>
      </c>
      <c r="G658" s="10" t="n">
        <v>1</v>
      </c>
      <c r="H658" s="12" t="n">
        <v>4200</v>
      </c>
      <c r="I658" s="12" t="n">
        <v>3300</v>
      </c>
      <c r="J658" s="13" t="n">
        <f aca="false">G658*H658</f>
        <v>4200</v>
      </c>
      <c r="K658" s="13" t="n">
        <f aca="false">J658-G658*I658</f>
        <v>900</v>
      </c>
    </row>
    <row r="659" customFormat="false" ht="15" hidden="false" customHeight="false" outlineLevel="0" collapsed="false">
      <c r="A659" s="10" t="s">
        <v>702</v>
      </c>
      <c r="B659" s="11" t="n">
        <v>46050</v>
      </c>
      <c r="C659" s="10" t="s">
        <v>53</v>
      </c>
      <c r="D659" s="10" t="s">
        <v>24</v>
      </c>
      <c r="E659" s="10" t="s">
        <v>33</v>
      </c>
      <c r="F659" s="10" t="s">
        <v>34</v>
      </c>
      <c r="G659" s="10" t="n">
        <v>1</v>
      </c>
      <c r="H659" s="12" t="n">
        <v>300</v>
      </c>
      <c r="I659" s="12" t="n">
        <v>200</v>
      </c>
      <c r="J659" s="13" t="n">
        <f aca="false">G659*H659</f>
        <v>300</v>
      </c>
      <c r="K659" s="13" t="n">
        <f aca="false">J659-G659*I659</f>
        <v>100</v>
      </c>
    </row>
    <row r="660" customFormat="false" ht="15" hidden="false" customHeight="false" outlineLevel="0" collapsed="false">
      <c r="A660" s="10" t="s">
        <v>703</v>
      </c>
      <c r="B660" s="11" t="n">
        <v>46051</v>
      </c>
      <c r="C660" s="10" t="s">
        <v>32</v>
      </c>
      <c r="D660" s="10" t="s">
        <v>29</v>
      </c>
      <c r="E660" s="10" t="s">
        <v>38</v>
      </c>
      <c r="F660" s="10" t="s">
        <v>34</v>
      </c>
      <c r="G660" s="10" t="n">
        <v>3</v>
      </c>
      <c r="H660" s="12" t="n">
        <v>520</v>
      </c>
      <c r="I660" s="12" t="n">
        <v>300</v>
      </c>
      <c r="J660" s="13" t="n">
        <f aca="false">G660*H660</f>
        <v>1560</v>
      </c>
      <c r="K660" s="13" t="n">
        <f aca="false">J660-G660*I660</f>
        <v>660</v>
      </c>
    </row>
    <row r="661" customFormat="false" ht="15" hidden="false" customHeight="false" outlineLevel="0" collapsed="false">
      <c r="A661" s="10" t="s">
        <v>704</v>
      </c>
      <c r="B661" s="11" t="n">
        <v>46052</v>
      </c>
      <c r="C661" s="10" t="s">
        <v>23</v>
      </c>
      <c r="D661" s="10" t="s">
        <v>24</v>
      </c>
      <c r="E661" s="10" t="s">
        <v>38</v>
      </c>
      <c r="F661" s="10" t="s">
        <v>34</v>
      </c>
      <c r="G661" s="10" t="n">
        <v>1</v>
      </c>
      <c r="H661" s="12" t="n">
        <v>260</v>
      </c>
      <c r="I661" s="12" t="n">
        <v>180</v>
      </c>
      <c r="J661" s="13" t="n">
        <f aca="false">G661*H661</f>
        <v>260</v>
      </c>
      <c r="K661" s="13" t="n">
        <f aca="false">J661-G661*I661</f>
        <v>80</v>
      </c>
    </row>
    <row r="662" customFormat="false" ht="15" hidden="false" customHeight="false" outlineLevel="0" collapsed="false">
      <c r="A662" s="10" t="s">
        <v>705</v>
      </c>
      <c r="B662" s="11" t="n">
        <v>46054</v>
      </c>
      <c r="C662" s="10" t="s">
        <v>67</v>
      </c>
      <c r="D662" s="10" t="s">
        <v>68</v>
      </c>
      <c r="E662" s="10" t="s">
        <v>30</v>
      </c>
      <c r="F662" s="10" t="s">
        <v>34</v>
      </c>
      <c r="G662" s="10" t="n">
        <v>2</v>
      </c>
      <c r="H662" s="12" t="n">
        <v>2600</v>
      </c>
      <c r="I662" s="12" t="n">
        <v>2100</v>
      </c>
      <c r="J662" s="13" t="n">
        <f aca="false">G662*H662</f>
        <v>5200</v>
      </c>
      <c r="K662" s="13" t="n">
        <f aca="false">J662-G662*I662</f>
        <v>1000</v>
      </c>
    </row>
    <row r="663" customFormat="false" ht="15" hidden="false" customHeight="false" outlineLevel="0" collapsed="false">
      <c r="A663" s="10" t="s">
        <v>706</v>
      </c>
      <c r="B663" s="11" t="n">
        <v>46056</v>
      </c>
      <c r="C663" s="10" t="s">
        <v>67</v>
      </c>
      <c r="D663" s="10" t="s">
        <v>68</v>
      </c>
      <c r="E663" s="10" t="s">
        <v>38</v>
      </c>
      <c r="F663" s="10" t="s">
        <v>26</v>
      </c>
      <c r="G663" s="10" t="n">
        <v>1</v>
      </c>
      <c r="H663" s="12" t="n">
        <v>2600</v>
      </c>
      <c r="I663" s="12" t="n">
        <v>2100</v>
      </c>
      <c r="J663" s="13" t="n">
        <f aca="false">G663*H663</f>
        <v>2600</v>
      </c>
      <c r="K663" s="13" t="n">
        <f aca="false">J663-G663*I663</f>
        <v>500</v>
      </c>
    </row>
    <row r="664" customFormat="false" ht="15" hidden="false" customHeight="false" outlineLevel="0" collapsed="false">
      <c r="A664" s="10" t="s">
        <v>707</v>
      </c>
      <c r="B664" s="11" t="n">
        <v>46056</v>
      </c>
      <c r="C664" s="10" t="s">
        <v>32</v>
      </c>
      <c r="D664" s="10" t="s">
        <v>29</v>
      </c>
      <c r="E664" s="10" t="s">
        <v>38</v>
      </c>
      <c r="F664" s="10" t="s">
        <v>26</v>
      </c>
      <c r="G664" s="10" t="n">
        <v>4</v>
      </c>
      <c r="H664" s="12" t="n">
        <v>520</v>
      </c>
      <c r="I664" s="12" t="n">
        <v>300</v>
      </c>
      <c r="J664" s="13" t="n">
        <f aca="false">G664*H664</f>
        <v>2080</v>
      </c>
      <c r="K664" s="13" t="n">
        <f aca="false">J664-G664*I664</f>
        <v>880</v>
      </c>
    </row>
    <row r="665" customFormat="false" ht="15" hidden="false" customHeight="false" outlineLevel="0" collapsed="false">
      <c r="A665" s="10" t="s">
        <v>708</v>
      </c>
      <c r="B665" s="11" t="n">
        <v>46057</v>
      </c>
      <c r="C665" s="10" t="s">
        <v>51</v>
      </c>
      <c r="D665" s="10" t="s">
        <v>42</v>
      </c>
      <c r="E665" s="10" t="s">
        <v>38</v>
      </c>
      <c r="F665" s="10" t="s">
        <v>34</v>
      </c>
      <c r="G665" s="10" t="n">
        <v>2</v>
      </c>
      <c r="H665" s="12" t="n">
        <v>130</v>
      </c>
      <c r="I665" s="12" t="n">
        <v>60</v>
      </c>
      <c r="J665" s="13" t="n">
        <f aca="false">G665*H665</f>
        <v>260</v>
      </c>
      <c r="K665" s="13" t="n">
        <f aca="false">J665-G665*I665</f>
        <v>140</v>
      </c>
    </row>
    <row r="666" customFormat="false" ht="15" hidden="false" customHeight="false" outlineLevel="0" collapsed="false">
      <c r="A666" s="10" t="s">
        <v>709</v>
      </c>
      <c r="B666" s="11" t="n">
        <v>46057</v>
      </c>
      <c r="C666" s="10" t="s">
        <v>41</v>
      </c>
      <c r="D666" s="10" t="s">
        <v>42</v>
      </c>
      <c r="E666" s="10" t="s">
        <v>38</v>
      </c>
      <c r="F666" s="10" t="s">
        <v>26</v>
      </c>
      <c r="G666" s="10" t="n">
        <v>2</v>
      </c>
      <c r="H666" s="12" t="n">
        <v>45</v>
      </c>
      <c r="I666" s="12" t="n">
        <v>20</v>
      </c>
      <c r="J666" s="13" t="n">
        <f aca="false">G666*H666</f>
        <v>90</v>
      </c>
      <c r="K666" s="13" t="n">
        <f aca="false">J666-G666*I666</f>
        <v>50</v>
      </c>
    </row>
    <row r="667" customFormat="false" ht="15" hidden="false" customHeight="false" outlineLevel="0" collapsed="false">
      <c r="A667" s="10" t="s">
        <v>710</v>
      </c>
      <c r="B667" s="11" t="n">
        <v>46057</v>
      </c>
      <c r="C667" s="10" t="s">
        <v>32</v>
      </c>
      <c r="D667" s="10" t="s">
        <v>29</v>
      </c>
      <c r="E667" s="10" t="s">
        <v>33</v>
      </c>
      <c r="F667" s="10" t="s">
        <v>26</v>
      </c>
      <c r="G667" s="10" t="n">
        <v>4</v>
      </c>
      <c r="H667" s="12" t="n">
        <v>520</v>
      </c>
      <c r="I667" s="12" t="n">
        <v>300</v>
      </c>
      <c r="J667" s="13" t="n">
        <f aca="false">G667*H667</f>
        <v>2080</v>
      </c>
      <c r="K667" s="13" t="n">
        <f aca="false">J667-G667*I667</f>
        <v>880</v>
      </c>
    </row>
    <row r="668" customFormat="false" ht="15" hidden="false" customHeight="false" outlineLevel="0" collapsed="false">
      <c r="A668" s="10" t="s">
        <v>711</v>
      </c>
      <c r="B668" s="11" t="n">
        <v>46058</v>
      </c>
      <c r="C668" s="10" t="s">
        <v>32</v>
      </c>
      <c r="D668" s="10" t="s">
        <v>29</v>
      </c>
      <c r="E668" s="10" t="s">
        <v>38</v>
      </c>
      <c r="F668" s="10" t="s">
        <v>34</v>
      </c>
      <c r="G668" s="10" t="n">
        <v>2</v>
      </c>
      <c r="H668" s="12" t="n">
        <v>520</v>
      </c>
      <c r="I668" s="12" t="n">
        <v>300</v>
      </c>
      <c r="J668" s="13" t="n">
        <f aca="false">G668*H668</f>
        <v>1040</v>
      </c>
      <c r="K668" s="13" t="n">
        <f aca="false">J668-G668*I668</f>
        <v>440</v>
      </c>
    </row>
    <row r="669" customFormat="false" ht="15" hidden="false" customHeight="false" outlineLevel="0" collapsed="false">
      <c r="A669" s="10" t="s">
        <v>712</v>
      </c>
      <c r="B669" s="11" t="n">
        <v>46061</v>
      </c>
      <c r="C669" s="10" t="s">
        <v>32</v>
      </c>
      <c r="D669" s="10" t="s">
        <v>29</v>
      </c>
      <c r="E669" s="10" t="s">
        <v>30</v>
      </c>
      <c r="F669" s="10" t="s">
        <v>34</v>
      </c>
      <c r="G669" s="10" t="n">
        <v>3</v>
      </c>
      <c r="H669" s="12" t="n">
        <v>520</v>
      </c>
      <c r="I669" s="12" t="n">
        <v>300</v>
      </c>
      <c r="J669" s="13" t="n">
        <f aca="false">G669*H669</f>
        <v>1560</v>
      </c>
      <c r="K669" s="13" t="n">
        <f aca="false">J669-G669*I669</f>
        <v>660</v>
      </c>
    </row>
    <row r="670" customFormat="false" ht="15" hidden="false" customHeight="false" outlineLevel="0" collapsed="false">
      <c r="A670" s="10" t="s">
        <v>713</v>
      </c>
      <c r="B670" s="11" t="n">
        <v>46061</v>
      </c>
      <c r="C670" s="10" t="s">
        <v>32</v>
      </c>
      <c r="D670" s="10" t="s">
        <v>29</v>
      </c>
      <c r="E670" s="10" t="s">
        <v>38</v>
      </c>
      <c r="F670" s="10" t="s">
        <v>34</v>
      </c>
      <c r="G670" s="10" t="n">
        <v>4</v>
      </c>
      <c r="H670" s="12" t="n">
        <v>520</v>
      </c>
      <c r="I670" s="12" t="n">
        <v>300</v>
      </c>
      <c r="J670" s="13" t="n">
        <f aca="false">G670*H670</f>
        <v>2080</v>
      </c>
      <c r="K670" s="13" t="n">
        <f aca="false">J670-G670*I670</f>
        <v>880</v>
      </c>
    </row>
    <row r="671" customFormat="false" ht="15" hidden="false" customHeight="false" outlineLevel="0" collapsed="false">
      <c r="A671" s="10" t="s">
        <v>714</v>
      </c>
      <c r="B671" s="11" t="n">
        <v>46061</v>
      </c>
      <c r="C671" s="10" t="s">
        <v>101</v>
      </c>
      <c r="D671" s="10" t="s">
        <v>68</v>
      </c>
      <c r="E671" s="10" t="s">
        <v>30</v>
      </c>
      <c r="F671" s="10" t="s">
        <v>34</v>
      </c>
      <c r="G671" s="10" t="n">
        <v>1</v>
      </c>
      <c r="H671" s="12" t="n">
        <v>4200</v>
      </c>
      <c r="I671" s="12" t="n">
        <v>3300</v>
      </c>
      <c r="J671" s="13" t="n">
        <f aca="false">G671*H671</f>
        <v>4200</v>
      </c>
      <c r="K671" s="13" t="n">
        <f aca="false">J671-G671*I671</f>
        <v>900</v>
      </c>
    </row>
    <row r="672" customFormat="false" ht="15" hidden="false" customHeight="false" outlineLevel="0" collapsed="false">
      <c r="A672" s="10" t="s">
        <v>715</v>
      </c>
      <c r="B672" s="11" t="n">
        <v>46062</v>
      </c>
      <c r="C672" s="10" t="s">
        <v>53</v>
      </c>
      <c r="D672" s="10" t="s">
        <v>24</v>
      </c>
      <c r="E672" s="10" t="s">
        <v>57</v>
      </c>
      <c r="F672" s="10" t="s">
        <v>34</v>
      </c>
      <c r="G672" s="10" t="n">
        <v>1</v>
      </c>
      <c r="H672" s="12" t="n">
        <v>300</v>
      </c>
      <c r="I672" s="12" t="n">
        <v>200</v>
      </c>
      <c r="J672" s="13" t="n">
        <f aca="false">G672*H672</f>
        <v>300</v>
      </c>
      <c r="K672" s="13" t="n">
        <f aca="false">J672-G672*I672</f>
        <v>100</v>
      </c>
    </row>
    <row r="673" customFormat="false" ht="15" hidden="false" customHeight="false" outlineLevel="0" collapsed="false">
      <c r="A673" s="10" t="s">
        <v>716</v>
      </c>
      <c r="B673" s="11" t="n">
        <v>46062</v>
      </c>
      <c r="C673" s="10" t="s">
        <v>23</v>
      </c>
      <c r="D673" s="10" t="s">
        <v>24</v>
      </c>
      <c r="E673" s="10" t="s">
        <v>30</v>
      </c>
      <c r="F673" s="10" t="s">
        <v>26</v>
      </c>
      <c r="G673" s="10" t="n">
        <v>4</v>
      </c>
      <c r="H673" s="12" t="n">
        <v>260</v>
      </c>
      <c r="I673" s="12" t="n">
        <v>180</v>
      </c>
      <c r="J673" s="13" t="n">
        <f aca="false">G673*H673</f>
        <v>1040</v>
      </c>
      <c r="K673" s="13" t="n">
        <f aca="false">J673-G673*I673</f>
        <v>320</v>
      </c>
    </row>
    <row r="674" customFormat="false" ht="15" hidden="false" customHeight="false" outlineLevel="0" collapsed="false">
      <c r="A674" s="10" t="s">
        <v>717</v>
      </c>
      <c r="B674" s="11" t="n">
        <v>46063</v>
      </c>
      <c r="C674" s="10" t="s">
        <v>32</v>
      </c>
      <c r="D674" s="10" t="s">
        <v>29</v>
      </c>
      <c r="E674" s="10" t="s">
        <v>38</v>
      </c>
      <c r="F674" s="10" t="s">
        <v>34</v>
      </c>
      <c r="G674" s="10" t="n">
        <v>2</v>
      </c>
      <c r="H674" s="12" t="n">
        <v>520</v>
      </c>
      <c r="I674" s="12" t="n">
        <v>300</v>
      </c>
      <c r="J674" s="13" t="n">
        <f aca="false">G674*H674</f>
        <v>1040</v>
      </c>
      <c r="K674" s="13" t="n">
        <f aca="false">J674-G674*I674</f>
        <v>440</v>
      </c>
    </row>
    <row r="675" customFormat="false" ht="15" hidden="false" customHeight="false" outlineLevel="0" collapsed="false">
      <c r="A675" s="10" t="s">
        <v>718</v>
      </c>
      <c r="B675" s="11" t="n">
        <v>46064</v>
      </c>
      <c r="C675" s="10" t="s">
        <v>67</v>
      </c>
      <c r="D675" s="10" t="s">
        <v>68</v>
      </c>
      <c r="E675" s="10" t="s">
        <v>38</v>
      </c>
      <c r="F675" s="10" t="s">
        <v>34</v>
      </c>
      <c r="G675" s="10" t="n">
        <v>2</v>
      </c>
      <c r="H675" s="12" t="n">
        <v>2600</v>
      </c>
      <c r="I675" s="12" t="n">
        <v>2100</v>
      </c>
      <c r="J675" s="13" t="n">
        <f aca="false">G675*H675</f>
        <v>5200</v>
      </c>
      <c r="K675" s="13" t="n">
        <f aca="false">J675-G675*I675</f>
        <v>1000</v>
      </c>
    </row>
    <row r="676" customFormat="false" ht="15" hidden="false" customHeight="false" outlineLevel="0" collapsed="false">
      <c r="A676" s="10" t="s">
        <v>719</v>
      </c>
      <c r="B676" s="11" t="n">
        <v>46065</v>
      </c>
      <c r="C676" s="10" t="s">
        <v>67</v>
      </c>
      <c r="D676" s="10" t="s">
        <v>68</v>
      </c>
      <c r="E676" s="10" t="s">
        <v>38</v>
      </c>
      <c r="F676" s="10" t="s">
        <v>34</v>
      </c>
      <c r="G676" s="10" t="n">
        <v>2</v>
      </c>
      <c r="H676" s="12" t="n">
        <v>2600</v>
      </c>
      <c r="I676" s="12" t="n">
        <v>2100</v>
      </c>
      <c r="J676" s="13" t="n">
        <f aca="false">G676*H676</f>
        <v>5200</v>
      </c>
      <c r="K676" s="13" t="n">
        <f aca="false">J676-G676*I676</f>
        <v>1000</v>
      </c>
    </row>
    <row r="677" customFormat="false" ht="15" hidden="false" customHeight="false" outlineLevel="0" collapsed="false">
      <c r="A677" s="10" t="s">
        <v>720</v>
      </c>
      <c r="B677" s="11" t="n">
        <v>46065</v>
      </c>
      <c r="C677" s="10" t="s">
        <v>55</v>
      </c>
      <c r="D677" s="10" t="s">
        <v>24</v>
      </c>
      <c r="E677" s="10" t="s">
        <v>25</v>
      </c>
      <c r="F677" s="10" t="s">
        <v>26</v>
      </c>
      <c r="G677" s="10" t="n">
        <v>3</v>
      </c>
      <c r="H677" s="12" t="n">
        <v>280</v>
      </c>
      <c r="I677" s="12" t="n">
        <v>190</v>
      </c>
      <c r="J677" s="13" t="n">
        <f aca="false">G677*H677</f>
        <v>840</v>
      </c>
      <c r="K677" s="13" t="n">
        <f aca="false">J677-G677*I677</f>
        <v>270</v>
      </c>
    </row>
    <row r="678" customFormat="false" ht="15" hidden="false" customHeight="false" outlineLevel="0" collapsed="false">
      <c r="A678" s="10" t="s">
        <v>721</v>
      </c>
      <c r="B678" s="11" t="n">
        <v>46065</v>
      </c>
      <c r="C678" s="10" t="s">
        <v>41</v>
      </c>
      <c r="D678" s="10" t="s">
        <v>42</v>
      </c>
      <c r="E678" s="10" t="s">
        <v>38</v>
      </c>
      <c r="F678" s="10" t="s">
        <v>26</v>
      </c>
      <c r="G678" s="10" t="n">
        <v>1</v>
      </c>
      <c r="H678" s="12" t="n">
        <v>45</v>
      </c>
      <c r="I678" s="12" t="n">
        <v>20</v>
      </c>
      <c r="J678" s="13" t="n">
        <f aca="false">G678*H678</f>
        <v>45</v>
      </c>
      <c r="K678" s="13" t="n">
        <f aca="false">J678-G678*I678</f>
        <v>25</v>
      </c>
    </row>
    <row r="679" customFormat="false" ht="15" hidden="false" customHeight="false" outlineLevel="0" collapsed="false">
      <c r="A679" s="10" t="s">
        <v>722</v>
      </c>
      <c r="B679" s="11" t="n">
        <v>46066</v>
      </c>
      <c r="C679" s="10" t="s">
        <v>53</v>
      </c>
      <c r="D679" s="10" t="s">
        <v>24</v>
      </c>
      <c r="E679" s="10" t="s">
        <v>33</v>
      </c>
      <c r="F679" s="10" t="s">
        <v>26</v>
      </c>
      <c r="G679" s="10" t="n">
        <v>2</v>
      </c>
      <c r="H679" s="12" t="n">
        <v>300</v>
      </c>
      <c r="I679" s="12" t="n">
        <v>200</v>
      </c>
      <c r="J679" s="13" t="n">
        <f aca="false">G679*H679</f>
        <v>600</v>
      </c>
      <c r="K679" s="13" t="n">
        <f aca="false">J679-G679*I679</f>
        <v>200</v>
      </c>
    </row>
    <row r="680" customFormat="false" ht="15" hidden="false" customHeight="false" outlineLevel="0" collapsed="false">
      <c r="A680" s="10" t="s">
        <v>723</v>
      </c>
      <c r="B680" s="11" t="n">
        <v>46066</v>
      </c>
      <c r="C680" s="10" t="s">
        <v>23</v>
      </c>
      <c r="D680" s="10" t="s">
        <v>24</v>
      </c>
      <c r="E680" s="10" t="s">
        <v>25</v>
      </c>
      <c r="F680" s="10" t="s">
        <v>34</v>
      </c>
      <c r="G680" s="10" t="n">
        <v>3</v>
      </c>
      <c r="H680" s="12" t="n">
        <v>260</v>
      </c>
      <c r="I680" s="12" t="n">
        <v>180</v>
      </c>
      <c r="J680" s="13" t="n">
        <f aca="false">G680*H680</f>
        <v>780</v>
      </c>
      <c r="K680" s="13" t="n">
        <f aca="false">J680-G680*I680</f>
        <v>240</v>
      </c>
    </row>
    <row r="681" customFormat="false" ht="15" hidden="false" customHeight="false" outlineLevel="0" collapsed="false">
      <c r="A681" s="10" t="s">
        <v>724</v>
      </c>
      <c r="B681" s="11" t="n">
        <v>46067</v>
      </c>
      <c r="C681" s="10" t="s">
        <v>36</v>
      </c>
      <c r="D681" s="10" t="s">
        <v>29</v>
      </c>
      <c r="E681" s="10" t="s">
        <v>38</v>
      </c>
      <c r="F681" s="10" t="s">
        <v>34</v>
      </c>
      <c r="G681" s="10" t="n">
        <v>1</v>
      </c>
      <c r="H681" s="12" t="n">
        <v>380</v>
      </c>
      <c r="I681" s="12" t="n">
        <v>260</v>
      </c>
      <c r="J681" s="13" t="n">
        <f aca="false">G681*H681</f>
        <v>380</v>
      </c>
      <c r="K681" s="13" t="n">
        <f aca="false">J681-G681*I681</f>
        <v>120</v>
      </c>
    </row>
    <row r="682" customFormat="false" ht="15" hidden="false" customHeight="false" outlineLevel="0" collapsed="false">
      <c r="A682" s="10" t="s">
        <v>725</v>
      </c>
      <c r="B682" s="11" t="n">
        <v>46071</v>
      </c>
      <c r="C682" s="10" t="s">
        <v>49</v>
      </c>
      <c r="D682" s="10" t="s">
        <v>24</v>
      </c>
      <c r="E682" s="10" t="s">
        <v>33</v>
      </c>
      <c r="F682" s="10" t="s">
        <v>26</v>
      </c>
      <c r="G682" s="10" t="n">
        <v>4</v>
      </c>
      <c r="H682" s="12" t="n">
        <v>250</v>
      </c>
      <c r="I682" s="12" t="n">
        <v>170</v>
      </c>
      <c r="J682" s="13" t="n">
        <f aca="false">G682*H682</f>
        <v>1000</v>
      </c>
      <c r="K682" s="13" t="n">
        <f aca="false">J682-G682*I682</f>
        <v>320</v>
      </c>
    </row>
    <row r="683" customFormat="false" ht="15" hidden="false" customHeight="false" outlineLevel="0" collapsed="false">
      <c r="A683" s="10" t="s">
        <v>726</v>
      </c>
      <c r="B683" s="11" t="n">
        <v>46071</v>
      </c>
      <c r="C683" s="10" t="s">
        <v>51</v>
      </c>
      <c r="D683" s="10" t="s">
        <v>42</v>
      </c>
      <c r="E683" s="10" t="s">
        <v>33</v>
      </c>
      <c r="F683" s="10" t="s">
        <v>34</v>
      </c>
      <c r="G683" s="10" t="n">
        <v>3</v>
      </c>
      <c r="H683" s="12" t="n">
        <v>130</v>
      </c>
      <c r="I683" s="12" t="n">
        <v>60</v>
      </c>
      <c r="J683" s="13" t="n">
        <f aca="false">G683*H683</f>
        <v>390</v>
      </c>
      <c r="K683" s="13" t="n">
        <f aca="false">J683-G683*I683</f>
        <v>210</v>
      </c>
    </row>
    <row r="684" customFormat="false" ht="15" hidden="false" customHeight="false" outlineLevel="0" collapsed="false">
      <c r="A684" s="10" t="s">
        <v>727</v>
      </c>
      <c r="B684" s="11" t="n">
        <v>46072</v>
      </c>
      <c r="C684" s="10" t="s">
        <v>32</v>
      </c>
      <c r="D684" s="10" t="s">
        <v>29</v>
      </c>
      <c r="E684" s="10" t="s">
        <v>30</v>
      </c>
      <c r="F684" s="10" t="s">
        <v>34</v>
      </c>
      <c r="G684" s="10" t="n">
        <v>4</v>
      </c>
      <c r="H684" s="12" t="n">
        <v>520</v>
      </c>
      <c r="I684" s="12" t="n">
        <v>300</v>
      </c>
      <c r="J684" s="13" t="n">
        <f aca="false">G684*H684</f>
        <v>2080</v>
      </c>
      <c r="K684" s="13" t="n">
        <f aca="false">J684-G684*I684</f>
        <v>880</v>
      </c>
    </row>
    <row r="685" customFormat="false" ht="15" hidden="false" customHeight="false" outlineLevel="0" collapsed="false">
      <c r="A685" s="10" t="s">
        <v>728</v>
      </c>
      <c r="B685" s="11" t="n">
        <v>46073</v>
      </c>
      <c r="C685" s="10" t="s">
        <v>49</v>
      </c>
      <c r="D685" s="10" t="s">
        <v>24</v>
      </c>
      <c r="E685" s="10" t="s">
        <v>38</v>
      </c>
      <c r="F685" s="10" t="s">
        <v>26</v>
      </c>
      <c r="G685" s="10" t="n">
        <v>3</v>
      </c>
      <c r="H685" s="12" t="n">
        <v>250</v>
      </c>
      <c r="I685" s="12" t="n">
        <v>170</v>
      </c>
      <c r="J685" s="13" t="n">
        <f aca="false">G685*H685</f>
        <v>750</v>
      </c>
      <c r="K685" s="13" t="n">
        <f aca="false">J685-G685*I685</f>
        <v>240</v>
      </c>
    </row>
    <row r="686" customFormat="false" ht="15" hidden="false" customHeight="false" outlineLevel="0" collapsed="false">
      <c r="A686" s="10" t="s">
        <v>729</v>
      </c>
      <c r="B686" s="11" t="n">
        <v>46074</v>
      </c>
      <c r="C686" s="10" t="s">
        <v>28</v>
      </c>
      <c r="D686" s="10" t="s">
        <v>29</v>
      </c>
      <c r="E686" s="10" t="s">
        <v>38</v>
      </c>
      <c r="F686" s="10" t="s">
        <v>34</v>
      </c>
      <c r="G686" s="10" t="n">
        <v>3</v>
      </c>
      <c r="H686" s="12" t="n">
        <v>450</v>
      </c>
      <c r="I686" s="12" t="n">
        <v>280</v>
      </c>
      <c r="J686" s="13" t="n">
        <f aca="false">G686*H686</f>
        <v>1350</v>
      </c>
      <c r="K686" s="13" t="n">
        <f aca="false">J686-G686*I686</f>
        <v>510</v>
      </c>
    </row>
    <row r="687" customFormat="false" ht="15" hidden="false" customHeight="false" outlineLevel="0" collapsed="false">
      <c r="A687" s="10" t="s">
        <v>730</v>
      </c>
      <c r="B687" s="11" t="n">
        <v>46076</v>
      </c>
      <c r="C687" s="10" t="s">
        <v>36</v>
      </c>
      <c r="D687" s="10" t="s">
        <v>29</v>
      </c>
      <c r="E687" s="10" t="s">
        <v>38</v>
      </c>
      <c r="F687" s="10" t="s">
        <v>34</v>
      </c>
      <c r="G687" s="10" t="n">
        <v>3</v>
      </c>
      <c r="H687" s="12" t="n">
        <v>380</v>
      </c>
      <c r="I687" s="12" t="n">
        <v>260</v>
      </c>
      <c r="J687" s="13" t="n">
        <f aca="false">G687*H687</f>
        <v>1140</v>
      </c>
      <c r="K687" s="13" t="n">
        <f aca="false">J687-G687*I687</f>
        <v>360</v>
      </c>
    </row>
    <row r="688" customFormat="false" ht="15" hidden="false" customHeight="false" outlineLevel="0" collapsed="false">
      <c r="A688" s="10" t="s">
        <v>731</v>
      </c>
      <c r="B688" s="11" t="n">
        <v>46077</v>
      </c>
      <c r="C688" s="10" t="s">
        <v>53</v>
      </c>
      <c r="D688" s="10" t="s">
        <v>24</v>
      </c>
      <c r="E688" s="10" t="s">
        <v>38</v>
      </c>
      <c r="F688" s="10" t="s">
        <v>26</v>
      </c>
      <c r="G688" s="10" t="n">
        <v>1</v>
      </c>
      <c r="H688" s="12" t="n">
        <v>300</v>
      </c>
      <c r="I688" s="12" t="n">
        <v>200</v>
      </c>
      <c r="J688" s="13" t="n">
        <f aca="false">G688*H688</f>
        <v>300</v>
      </c>
      <c r="K688" s="13" t="n">
        <f aca="false">J688-G688*I688</f>
        <v>100</v>
      </c>
    </row>
    <row r="689" customFormat="false" ht="15" hidden="false" customHeight="false" outlineLevel="0" collapsed="false">
      <c r="A689" s="10" t="s">
        <v>732</v>
      </c>
      <c r="B689" s="11" t="n">
        <v>46077</v>
      </c>
      <c r="C689" s="10" t="s">
        <v>23</v>
      </c>
      <c r="D689" s="10" t="s">
        <v>24</v>
      </c>
      <c r="E689" s="10" t="s">
        <v>38</v>
      </c>
      <c r="F689" s="10" t="s">
        <v>34</v>
      </c>
      <c r="G689" s="10" t="n">
        <v>3</v>
      </c>
      <c r="H689" s="12" t="n">
        <v>260</v>
      </c>
      <c r="I689" s="12" t="n">
        <v>180</v>
      </c>
      <c r="J689" s="13" t="n">
        <f aca="false">G689*H689</f>
        <v>780</v>
      </c>
      <c r="K689" s="13" t="n">
        <f aca="false">J689-G689*I689</f>
        <v>240</v>
      </c>
    </row>
    <row r="690" customFormat="false" ht="15" hidden="false" customHeight="false" outlineLevel="0" collapsed="false">
      <c r="A690" s="10" t="s">
        <v>733</v>
      </c>
      <c r="B690" s="11" t="n">
        <v>46078</v>
      </c>
      <c r="C690" s="10" t="s">
        <v>67</v>
      </c>
      <c r="D690" s="10" t="s">
        <v>68</v>
      </c>
      <c r="E690" s="10" t="s">
        <v>38</v>
      </c>
      <c r="F690" s="10" t="s">
        <v>26</v>
      </c>
      <c r="G690" s="10" t="n">
        <v>2</v>
      </c>
      <c r="H690" s="12" t="n">
        <v>2600</v>
      </c>
      <c r="I690" s="12" t="n">
        <v>2100</v>
      </c>
      <c r="J690" s="13" t="n">
        <f aca="false">G690*H690</f>
        <v>5200</v>
      </c>
      <c r="K690" s="13" t="n">
        <f aca="false">J690-G690*I690</f>
        <v>1000</v>
      </c>
    </row>
    <row r="691" customFormat="false" ht="15" hidden="false" customHeight="false" outlineLevel="0" collapsed="false">
      <c r="A691" s="10" t="s">
        <v>734</v>
      </c>
      <c r="B691" s="11" t="n">
        <v>46079</v>
      </c>
      <c r="C691" s="10" t="s">
        <v>51</v>
      </c>
      <c r="D691" s="10" t="s">
        <v>42</v>
      </c>
      <c r="E691" s="10" t="s">
        <v>38</v>
      </c>
      <c r="F691" s="10" t="s">
        <v>34</v>
      </c>
      <c r="G691" s="10" t="n">
        <v>4</v>
      </c>
      <c r="H691" s="12" t="n">
        <v>130</v>
      </c>
      <c r="I691" s="12" t="n">
        <v>60</v>
      </c>
      <c r="J691" s="13" t="n">
        <f aca="false">G691*H691</f>
        <v>520</v>
      </c>
      <c r="K691" s="13" t="n">
        <f aca="false">J691-G691*I691</f>
        <v>280</v>
      </c>
    </row>
    <row r="692" customFormat="false" ht="15" hidden="false" customHeight="false" outlineLevel="0" collapsed="false">
      <c r="A692" s="10" t="s">
        <v>735</v>
      </c>
      <c r="B692" s="11" t="n">
        <v>46080</v>
      </c>
      <c r="C692" s="10" t="s">
        <v>41</v>
      </c>
      <c r="D692" s="10" t="s">
        <v>42</v>
      </c>
      <c r="E692" s="10" t="s">
        <v>57</v>
      </c>
      <c r="F692" s="10" t="s">
        <v>26</v>
      </c>
      <c r="G692" s="10" t="n">
        <v>3</v>
      </c>
      <c r="H692" s="12" t="n">
        <v>45</v>
      </c>
      <c r="I692" s="12" t="n">
        <v>20</v>
      </c>
      <c r="J692" s="13" t="n">
        <f aca="false">G692*H692</f>
        <v>135</v>
      </c>
      <c r="K692" s="13" t="n">
        <f aca="false">J692-G692*I692</f>
        <v>75</v>
      </c>
    </row>
    <row r="693" customFormat="false" ht="15" hidden="false" customHeight="false" outlineLevel="0" collapsed="false">
      <c r="A693" s="10" t="s">
        <v>736</v>
      </c>
      <c r="B693" s="11" t="n">
        <v>46084</v>
      </c>
      <c r="C693" s="10" t="s">
        <v>28</v>
      </c>
      <c r="D693" s="10" t="s">
        <v>29</v>
      </c>
      <c r="E693" s="10" t="s">
        <v>25</v>
      </c>
      <c r="F693" s="10" t="s">
        <v>26</v>
      </c>
      <c r="G693" s="10" t="n">
        <v>1</v>
      </c>
      <c r="H693" s="12" t="n">
        <v>450</v>
      </c>
      <c r="I693" s="12" t="n">
        <v>280</v>
      </c>
      <c r="J693" s="13" t="n">
        <f aca="false">G693*H693</f>
        <v>450</v>
      </c>
      <c r="K693" s="13" t="n">
        <f aca="false">J693-G693*I693</f>
        <v>170</v>
      </c>
    </row>
    <row r="694" customFormat="false" ht="15" hidden="false" customHeight="false" outlineLevel="0" collapsed="false">
      <c r="A694" s="10" t="s">
        <v>737</v>
      </c>
      <c r="B694" s="11" t="n">
        <v>46084</v>
      </c>
      <c r="C694" s="10" t="s">
        <v>84</v>
      </c>
      <c r="D694" s="10" t="s">
        <v>42</v>
      </c>
      <c r="E694" s="10" t="s">
        <v>38</v>
      </c>
      <c r="F694" s="10" t="s">
        <v>34</v>
      </c>
      <c r="G694" s="10" t="n">
        <v>1</v>
      </c>
      <c r="H694" s="12" t="n">
        <v>480</v>
      </c>
      <c r="I694" s="12" t="n">
        <v>220</v>
      </c>
      <c r="J694" s="13" t="n">
        <f aca="false">G694*H694</f>
        <v>480</v>
      </c>
      <c r="K694" s="13" t="n">
        <f aca="false">J694-G694*I694</f>
        <v>260</v>
      </c>
    </row>
    <row r="695" customFormat="false" ht="15" hidden="false" customHeight="false" outlineLevel="0" collapsed="false">
      <c r="A695" s="10" t="s">
        <v>738</v>
      </c>
      <c r="B695" s="11" t="n">
        <v>46085</v>
      </c>
      <c r="C695" s="10" t="s">
        <v>55</v>
      </c>
      <c r="D695" s="10" t="s">
        <v>24</v>
      </c>
      <c r="E695" s="10" t="s">
        <v>38</v>
      </c>
      <c r="F695" s="10" t="s">
        <v>34</v>
      </c>
      <c r="G695" s="10" t="n">
        <v>3</v>
      </c>
      <c r="H695" s="12" t="n">
        <v>280</v>
      </c>
      <c r="I695" s="12" t="n">
        <v>190</v>
      </c>
      <c r="J695" s="13" t="n">
        <f aca="false">G695*H695</f>
        <v>840</v>
      </c>
      <c r="K695" s="13" t="n">
        <f aca="false">J695-G695*I695</f>
        <v>270</v>
      </c>
    </row>
    <row r="696" customFormat="false" ht="15" hidden="false" customHeight="false" outlineLevel="0" collapsed="false">
      <c r="A696" s="10" t="s">
        <v>739</v>
      </c>
      <c r="B696" s="11" t="n">
        <v>46087</v>
      </c>
      <c r="C696" s="10" t="s">
        <v>84</v>
      </c>
      <c r="D696" s="10" t="s">
        <v>42</v>
      </c>
      <c r="E696" s="10" t="s">
        <v>30</v>
      </c>
      <c r="F696" s="10" t="s">
        <v>34</v>
      </c>
      <c r="G696" s="10" t="n">
        <v>1</v>
      </c>
      <c r="H696" s="12" t="n">
        <v>480</v>
      </c>
      <c r="I696" s="12" t="n">
        <v>220</v>
      </c>
      <c r="J696" s="13" t="n">
        <f aca="false">G696*H696</f>
        <v>480</v>
      </c>
      <c r="K696" s="13" t="n">
        <f aca="false">J696-G696*I696</f>
        <v>260</v>
      </c>
    </row>
    <row r="697" customFormat="false" ht="15" hidden="false" customHeight="false" outlineLevel="0" collapsed="false">
      <c r="A697" s="10" t="s">
        <v>740</v>
      </c>
      <c r="B697" s="11" t="n">
        <v>46087</v>
      </c>
      <c r="C697" s="10" t="s">
        <v>32</v>
      </c>
      <c r="D697" s="10" t="s">
        <v>29</v>
      </c>
      <c r="E697" s="10" t="s">
        <v>30</v>
      </c>
      <c r="F697" s="10" t="s">
        <v>34</v>
      </c>
      <c r="G697" s="10" t="n">
        <v>2</v>
      </c>
      <c r="H697" s="12" t="n">
        <v>520</v>
      </c>
      <c r="I697" s="12" t="n">
        <v>300</v>
      </c>
      <c r="J697" s="13" t="n">
        <f aca="false">G697*H697</f>
        <v>1040</v>
      </c>
      <c r="K697" s="13" t="n">
        <f aca="false">J697-G697*I697</f>
        <v>440</v>
      </c>
    </row>
    <row r="698" customFormat="false" ht="15" hidden="false" customHeight="false" outlineLevel="0" collapsed="false">
      <c r="A698" s="10" t="s">
        <v>741</v>
      </c>
      <c r="B698" s="11" t="n">
        <v>46087</v>
      </c>
      <c r="C698" s="10" t="s">
        <v>49</v>
      </c>
      <c r="D698" s="10" t="s">
        <v>24</v>
      </c>
      <c r="E698" s="10" t="s">
        <v>38</v>
      </c>
      <c r="F698" s="10" t="s">
        <v>34</v>
      </c>
      <c r="G698" s="10" t="n">
        <v>1</v>
      </c>
      <c r="H698" s="12" t="n">
        <v>250</v>
      </c>
      <c r="I698" s="12" t="n">
        <v>170</v>
      </c>
      <c r="J698" s="13" t="n">
        <f aca="false">G698*H698</f>
        <v>250</v>
      </c>
      <c r="K698" s="13" t="n">
        <f aca="false">J698-G698*I698</f>
        <v>80</v>
      </c>
    </row>
    <row r="699" customFormat="false" ht="15" hidden="false" customHeight="false" outlineLevel="0" collapsed="false">
      <c r="A699" s="10" t="s">
        <v>742</v>
      </c>
      <c r="B699" s="11" t="n">
        <v>46088</v>
      </c>
      <c r="C699" s="10" t="s">
        <v>41</v>
      </c>
      <c r="D699" s="10" t="s">
        <v>42</v>
      </c>
      <c r="E699" s="10" t="s">
        <v>30</v>
      </c>
      <c r="F699" s="10" t="s">
        <v>26</v>
      </c>
      <c r="G699" s="10" t="n">
        <v>2</v>
      </c>
      <c r="H699" s="12" t="n">
        <v>45</v>
      </c>
      <c r="I699" s="12" t="n">
        <v>20</v>
      </c>
      <c r="J699" s="13" t="n">
        <f aca="false">G699*H699</f>
        <v>90</v>
      </c>
      <c r="K699" s="13" t="n">
        <f aca="false">J699-G699*I699</f>
        <v>50</v>
      </c>
    </row>
    <row r="700" customFormat="false" ht="15" hidden="false" customHeight="false" outlineLevel="0" collapsed="false">
      <c r="A700" s="10" t="s">
        <v>743</v>
      </c>
      <c r="B700" s="11" t="n">
        <v>46089</v>
      </c>
      <c r="C700" s="10" t="s">
        <v>41</v>
      </c>
      <c r="D700" s="10" t="s">
        <v>42</v>
      </c>
      <c r="E700" s="10" t="s">
        <v>38</v>
      </c>
      <c r="F700" s="10" t="s">
        <v>26</v>
      </c>
      <c r="G700" s="10" t="n">
        <v>1</v>
      </c>
      <c r="H700" s="12" t="n">
        <v>45</v>
      </c>
      <c r="I700" s="12" t="n">
        <v>20</v>
      </c>
      <c r="J700" s="13" t="n">
        <f aca="false">G700*H700</f>
        <v>45</v>
      </c>
      <c r="K700" s="13" t="n">
        <f aca="false">J700-G700*I700</f>
        <v>25</v>
      </c>
    </row>
    <row r="701" customFormat="false" ht="15" hidden="false" customHeight="false" outlineLevel="0" collapsed="false">
      <c r="A701" s="10" t="s">
        <v>744</v>
      </c>
      <c r="B701" s="11" t="n">
        <v>46091</v>
      </c>
      <c r="C701" s="10" t="s">
        <v>23</v>
      </c>
      <c r="D701" s="10" t="s">
        <v>24</v>
      </c>
      <c r="E701" s="10" t="s">
        <v>30</v>
      </c>
      <c r="F701" s="10" t="s">
        <v>26</v>
      </c>
      <c r="G701" s="10" t="n">
        <v>1</v>
      </c>
      <c r="H701" s="12" t="n">
        <v>260</v>
      </c>
      <c r="I701" s="12" t="n">
        <v>180</v>
      </c>
      <c r="J701" s="13" t="n">
        <f aca="false">G701*H701</f>
        <v>260</v>
      </c>
      <c r="K701" s="13" t="n">
        <f aca="false">J701-G701*I701</f>
        <v>80</v>
      </c>
    </row>
    <row r="702" customFormat="false" ht="15" hidden="false" customHeight="false" outlineLevel="0" collapsed="false">
      <c r="A702" s="10" t="s">
        <v>745</v>
      </c>
      <c r="B702" s="11" t="n">
        <v>46091</v>
      </c>
      <c r="C702" s="10" t="s">
        <v>41</v>
      </c>
      <c r="D702" s="10" t="s">
        <v>42</v>
      </c>
      <c r="E702" s="10" t="s">
        <v>33</v>
      </c>
      <c r="F702" s="10" t="s">
        <v>26</v>
      </c>
      <c r="G702" s="10" t="n">
        <v>2</v>
      </c>
      <c r="H702" s="12" t="n">
        <v>45</v>
      </c>
      <c r="I702" s="12" t="n">
        <v>20</v>
      </c>
      <c r="J702" s="13" t="n">
        <f aca="false">G702*H702</f>
        <v>90</v>
      </c>
      <c r="K702" s="13" t="n">
        <f aca="false">J702-G702*I702</f>
        <v>50</v>
      </c>
    </row>
    <row r="703" customFormat="false" ht="15" hidden="false" customHeight="false" outlineLevel="0" collapsed="false">
      <c r="A703" s="10" t="s">
        <v>746</v>
      </c>
      <c r="B703" s="11" t="n">
        <v>46092</v>
      </c>
      <c r="C703" s="10" t="s">
        <v>51</v>
      </c>
      <c r="D703" s="10" t="s">
        <v>42</v>
      </c>
      <c r="E703" s="10" t="s">
        <v>30</v>
      </c>
      <c r="F703" s="10" t="s">
        <v>34</v>
      </c>
      <c r="G703" s="10" t="n">
        <v>2</v>
      </c>
      <c r="H703" s="12" t="n">
        <v>130</v>
      </c>
      <c r="I703" s="12" t="n">
        <v>60</v>
      </c>
      <c r="J703" s="13" t="n">
        <f aca="false">G703*H703</f>
        <v>260</v>
      </c>
      <c r="K703" s="13" t="n">
        <f aca="false">J703-G703*I703</f>
        <v>140</v>
      </c>
    </row>
    <row r="704" customFormat="false" ht="15" hidden="false" customHeight="false" outlineLevel="0" collapsed="false">
      <c r="A704" s="10" t="s">
        <v>747</v>
      </c>
      <c r="B704" s="11" t="n">
        <v>46092</v>
      </c>
      <c r="C704" s="10" t="s">
        <v>53</v>
      </c>
      <c r="D704" s="10" t="s">
        <v>24</v>
      </c>
      <c r="E704" s="10" t="s">
        <v>38</v>
      </c>
      <c r="F704" s="10" t="s">
        <v>26</v>
      </c>
      <c r="G704" s="10" t="n">
        <v>4</v>
      </c>
      <c r="H704" s="12" t="n">
        <v>300</v>
      </c>
      <c r="I704" s="12" t="n">
        <v>200</v>
      </c>
      <c r="J704" s="13" t="n">
        <f aca="false">G704*H704</f>
        <v>1200</v>
      </c>
      <c r="K704" s="13" t="n">
        <f aca="false">J704-G704*I704</f>
        <v>400</v>
      </c>
    </row>
    <row r="705" customFormat="false" ht="15" hidden="false" customHeight="false" outlineLevel="0" collapsed="false">
      <c r="A705" s="10" t="s">
        <v>748</v>
      </c>
      <c r="B705" s="11" t="n">
        <v>46093</v>
      </c>
      <c r="C705" s="10" t="s">
        <v>36</v>
      </c>
      <c r="D705" s="10" t="s">
        <v>29</v>
      </c>
      <c r="E705" s="10" t="s">
        <v>57</v>
      </c>
      <c r="F705" s="10" t="s">
        <v>34</v>
      </c>
      <c r="G705" s="10" t="n">
        <v>4</v>
      </c>
      <c r="H705" s="12" t="n">
        <v>380</v>
      </c>
      <c r="I705" s="12" t="n">
        <v>260</v>
      </c>
      <c r="J705" s="13" t="n">
        <f aca="false">G705*H705</f>
        <v>1520</v>
      </c>
      <c r="K705" s="13" t="n">
        <f aca="false">J705-G705*I705</f>
        <v>480</v>
      </c>
    </row>
    <row r="706" customFormat="false" ht="15" hidden="false" customHeight="false" outlineLevel="0" collapsed="false">
      <c r="A706" s="10" t="s">
        <v>749</v>
      </c>
      <c r="B706" s="11" t="n">
        <v>46093</v>
      </c>
      <c r="C706" s="10" t="s">
        <v>23</v>
      </c>
      <c r="D706" s="10" t="s">
        <v>24</v>
      </c>
      <c r="E706" s="10" t="s">
        <v>33</v>
      </c>
      <c r="F706" s="10" t="s">
        <v>26</v>
      </c>
      <c r="G706" s="10" t="n">
        <v>4</v>
      </c>
      <c r="H706" s="12" t="n">
        <v>260</v>
      </c>
      <c r="I706" s="12" t="n">
        <v>180</v>
      </c>
      <c r="J706" s="13" t="n">
        <f aca="false">G706*H706</f>
        <v>1040</v>
      </c>
      <c r="K706" s="13" t="n">
        <f aca="false">J706-G706*I706</f>
        <v>320</v>
      </c>
    </row>
    <row r="707" customFormat="false" ht="15" hidden="false" customHeight="false" outlineLevel="0" collapsed="false">
      <c r="A707" s="10" t="s">
        <v>750</v>
      </c>
      <c r="B707" s="11" t="n">
        <v>46094</v>
      </c>
      <c r="C707" s="10" t="s">
        <v>41</v>
      </c>
      <c r="D707" s="10" t="s">
        <v>42</v>
      </c>
      <c r="E707" s="10" t="s">
        <v>38</v>
      </c>
      <c r="F707" s="10" t="s">
        <v>26</v>
      </c>
      <c r="G707" s="10" t="n">
        <v>4</v>
      </c>
      <c r="H707" s="12" t="n">
        <v>45</v>
      </c>
      <c r="I707" s="12" t="n">
        <v>20</v>
      </c>
      <c r="J707" s="13" t="n">
        <f aca="false">G707*H707</f>
        <v>180</v>
      </c>
      <c r="K707" s="13" t="n">
        <f aca="false">J707-G707*I707</f>
        <v>100</v>
      </c>
    </row>
    <row r="708" customFormat="false" ht="15" hidden="false" customHeight="false" outlineLevel="0" collapsed="false">
      <c r="A708" s="10" t="s">
        <v>751</v>
      </c>
      <c r="B708" s="11" t="n">
        <v>46096</v>
      </c>
      <c r="C708" s="10" t="s">
        <v>32</v>
      </c>
      <c r="D708" s="10" t="s">
        <v>29</v>
      </c>
      <c r="E708" s="10" t="s">
        <v>38</v>
      </c>
      <c r="F708" s="10" t="s">
        <v>26</v>
      </c>
      <c r="G708" s="10" t="n">
        <v>1</v>
      </c>
      <c r="H708" s="12" t="n">
        <v>520</v>
      </c>
      <c r="I708" s="12" t="n">
        <v>300</v>
      </c>
      <c r="J708" s="13" t="n">
        <f aca="false">G708*H708</f>
        <v>520</v>
      </c>
      <c r="K708" s="13" t="n">
        <f aca="false">J708-G708*I708</f>
        <v>220</v>
      </c>
    </row>
    <row r="709" customFormat="false" ht="15" hidden="false" customHeight="false" outlineLevel="0" collapsed="false">
      <c r="A709" s="10" t="s">
        <v>752</v>
      </c>
      <c r="B709" s="11" t="n">
        <v>46101</v>
      </c>
      <c r="C709" s="10" t="s">
        <v>41</v>
      </c>
      <c r="D709" s="10" t="s">
        <v>42</v>
      </c>
      <c r="E709" s="10" t="s">
        <v>33</v>
      </c>
      <c r="F709" s="10" t="s">
        <v>34</v>
      </c>
      <c r="G709" s="10" t="n">
        <v>3</v>
      </c>
      <c r="H709" s="12" t="n">
        <v>45</v>
      </c>
      <c r="I709" s="12" t="n">
        <v>20</v>
      </c>
      <c r="J709" s="13" t="n">
        <f aca="false">G709*H709</f>
        <v>135</v>
      </c>
      <c r="K709" s="13" t="n">
        <f aca="false">J709-G709*I709</f>
        <v>75</v>
      </c>
    </row>
    <row r="710" customFormat="false" ht="15" hidden="false" customHeight="false" outlineLevel="0" collapsed="false">
      <c r="A710" s="10" t="s">
        <v>753</v>
      </c>
      <c r="B710" s="11" t="n">
        <v>46102</v>
      </c>
      <c r="C710" s="10" t="s">
        <v>41</v>
      </c>
      <c r="D710" s="10" t="s">
        <v>42</v>
      </c>
      <c r="E710" s="10" t="s">
        <v>38</v>
      </c>
      <c r="F710" s="10" t="s">
        <v>26</v>
      </c>
      <c r="G710" s="10" t="n">
        <v>4</v>
      </c>
      <c r="H710" s="12" t="n">
        <v>45</v>
      </c>
      <c r="I710" s="12" t="n">
        <v>20</v>
      </c>
      <c r="J710" s="13" t="n">
        <f aca="false">G710*H710</f>
        <v>180</v>
      </c>
      <c r="K710" s="13" t="n">
        <f aca="false">J710-G710*I710</f>
        <v>100</v>
      </c>
    </row>
    <row r="711" customFormat="false" ht="15" hidden="false" customHeight="false" outlineLevel="0" collapsed="false">
      <c r="A711" s="10" t="s">
        <v>754</v>
      </c>
      <c r="B711" s="11" t="n">
        <v>46104</v>
      </c>
      <c r="C711" s="10" t="s">
        <v>51</v>
      </c>
      <c r="D711" s="10" t="s">
        <v>42</v>
      </c>
      <c r="E711" s="10" t="s">
        <v>25</v>
      </c>
      <c r="F711" s="10" t="s">
        <v>34</v>
      </c>
      <c r="G711" s="10" t="n">
        <v>4</v>
      </c>
      <c r="H711" s="12" t="n">
        <v>130</v>
      </c>
      <c r="I711" s="12" t="n">
        <v>60</v>
      </c>
      <c r="J711" s="13" t="n">
        <f aca="false">G711*H711</f>
        <v>520</v>
      </c>
      <c r="K711" s="13" t="n">
        <f aca="false">J711-G711*I711</f>
        <v>280</v>
      </c>
    </row>
    <row r="712" customFormat="false" ht="15" hidden="false" customHeight="false" outlineLevel="0" collapsed="false">
      <c r="A712" s="10" t="s">
        <v>755</v>
      </c>
      <c r="B712" s="11" t="n">
        <v>46105</v>
      </c>
      <c r="C712" s="10" t="s">
        <v>49</v>
      </c>
      <c r="D712" s="10" t="s">
        <v>24</v>
      </c>
      <c r="E712" s="10" t="s">
        <v>38</v>
      </c>
      <c r="F712" s="10" t="s">
        <v>34</v>
      </c>
      <c r="G712" s="10" t="n">
        <v>3</v>
      </c>
      <c r="H712" s="12" t="n">
        <v>250</v>
      </c>
      <c r="I712" s="12" t="n">
        <v>170</v>
      </c>
      <c r="J712" s="13" t="n">
        <f aca="false">G712*H712</f>
        <v>750</v>
      </c>
      <c r="K712" s="13" t="n">
        <f aca="false">J712-G712*I712</f>
        <v>240</v>
      </c>
    </row>
    <row r="713" customFormat="false" ht="15" hidden="false" customHeight="false" outlineLevel="0" collapsed="false">
      <c r="A713" s="10" t="s">
        <v>756</v>
      </c>
      <c r="B713" s="11" t="n">
        <v>46107</v>
      </c>
      <c r="C713" s="10" t="s">
        <v>55</v>
      </c>
      <c r="D713" s="10" t="s">
        <v>24</v>
      </c>
      <c r="E713" s="10" t="s">
        <v>33</v>
      </c>
      <c r="F713" s="10" t="s">
        <v>26</v>
      </c>
      <c r="G713" s="10" t="n">
        <v>1</v>
      </c>
      <c r="H713" s="12" t="n">
        <v>280</v>
      </c>
      <c r="I713" s="12" t="n">
        <v>190</v>
      </c>
      <c r="J713" s="13" t="n">
        <f aca="false">G713*H713</f>
        <v>280</v>
      </c>
      <c r="K713" s="13" t="n">
        <f aca="false">J713-G713*I713</f>
        <v>90</v>
      </c>
    </row>
    <row r="714" customFormat="false" ht="15" hidden="false" customHeight="false" outlineLevel="0" collapsed="false">
      <c r="A714" s="10" t="s">
        <v>757</v>
      </c>
      <c r="B714" s="11" t="n">
        <v>46108</v>
      </c>
      <c r="C714" s="10" t="s">
        <v>41</v>
      </c>
      <c r="D714" s="10" t="s">
        <v>42</v>
      </c>
      <c r="E714" s="10" t="s">
        <v>30</v>
      </c>
      <c r="F714" s="10" t="s">
        <v>26</v>
      </c>
      <c r="G714" s="10" t="n">
        <v>3</v>
      </c>
      <c r="H714" s="12" t="n">
        <v>45</v>
      </c>
      <c r="I714" s="12" t="n">
        <v>20</v>
      </c>
      <c r="J714" s="13" t="n">
        <f aca="false">G714*H714</f>
        <v>135</v>
      </c>
      <c r="K714" s="13" t="n">
        <f aca="false">J714-G714*I714</f>
        <v>75</v>
      </c>
    </row>
    <row r="715" customFormat="false" ht="15" hidden="false" customHeight="false" outlineLevel="0" collapsed="false">
      <c r="A715" s="10" t="s">
        <v>758</v>
      </c>
      <c r="B715" s="11" t="n">
        <v>46108</v>
      </c>
      <c r="C715" s="10" t="s">
        <v>32</v>
      </c>
      <c r="D715" s="10" t="s">
        <v>29</v>
      </c>
      <c r="E715" s="10" t="s">
        <v>38</v>
      </c>
      <c r="F715" s="10" t="s">
        <v>26</v>
      </c>
      <c r="G715" s="10" t="n">
        <v>4</v>
      </c>
      <c r="H715" s="12" t="n">
        <v>520</v>
      </c>
      <c r="I715" s="12" t="n">
        <v>300</v>
      </c>
      <c r="J715" s="13" t="n">
        <f aca="false">G715*H715</f>
        <v>2080</v>
      </c>
      <c r="K715" s="13" t="n">
        <f aca="false">J715-G715*I715</f>
        <v>880</v>
      </c>
    </row>
    <row r="716" customFormat="false" ht="15" hidden="false" customHeight="false" outlineLevel="0" collapsed="false">
      <c r="A716" s="10" t="s">
        <v>759</v>
      </c>
      <c r="B716" s="11" t="n">
        <v>46109</v>
      </c>
      <c r="C716" s="10" t="s">
        <v>36</v>
      </c>
      <c r="D716" s="10" t="s">
        <v>29</v>
      </c>
      <c r="E716" s="10" t="s">
        <v>38</v>
      </c>
      <c r="F716" s="10" t="s">
        <v>34</v>
      </c>
      <c r="G716" s="10" t="n">
        <v>4</v>
      </c>
      <c r="H716" s="12" t="n">
        <v>380</v>
      </c>
      <c r="I716" s="12" t="n">
        <v>260</v>
      </c>
      <c r="J716" s="13" t="n">
        <f aca="false">G716*H716</f>
        <v>1520</v>
      </c>
      <c r="K716" s="13" t="n">
        <f aca="false">J716-G716*I716</f>
        <v>480</v>
      </c>
    </row>
    <row r="717" customFormat="false" ht="15" hidden="false" customHeight="false" outlineLevel="0" collapsed="false">
      <c r="A717" s="10" t="s">
        <v>760</v>
      </c>
      <c r="B717" s="11" t="n">
        <v>46110</v>
      </c>
      <c r="C717" s="10" t="s">
        <v>101</v>
      </c>
      <c r="D717" s="10" t="s">
        <v>68</v>
      </c>
      <c r="E717" s="10" t="s">
        <v>38</v>
      </c>
      <c r="F717" s="10" t="s">
        <v>26</v>
      </c>
      <c r="G717" s="10" t="n">
        <v>1</v>
      </c>
      <c r="H717" s="12" t="n">
        <v>4200</v>
      </c>
      <c r="I717" s="12" t="n">
        <v>3300</v>
      </c>
      <c r="J717" s="13" t="n">
        <f aca="false">G717*H717</f>
        <v>4200</v>
      </c>
      <c r="K717" s="13" t="n">
        <f aca="false">J717-G717*I717</f>
        <v>900</v>
      </c>
    </row>
    <row r="718" customFormat="false" ht="15" hidden="false" customHeight="false" outlineLevel="0" collapsed="false">
      <c r="A718" s="10" t="s">
        <v>761</v>
      </c>
      <c r="B718" s="11" t="n">
        <v>46111</v>
      </c>
      <c r="C718" s="10" t="s">
        <v>55</v>
      </c>
      <c r="D718" s="10" t="s">
        <v>24</v>
      </c>
      <c r="E718" s="10" t="s">
        <v>38</v>
      </c>
      <c r="F718" s="10" t="s">
        <v>34</v>
      </c>
      <c r="G718" s="10" t="n">
        <v>4</v>
      </c>
      <c r="H718" s="12" t="n">
        <v>280</v>
      </c>
      <c r="I718" s="12" t="n">
        <v>190</v>
      </c>
      <c r="J718" s="13" t="n">
        <f aca="false">G718*H718</f>
        <v>1120</v>
      </c>
      <c r="K718" s="13" t="n">
        <f aca="false">J718-G718*I718</f>
        <v>360</v>
      </c>
    </row>
    <row r="719" customFormat="false" ht="15" hidden="false" customHeight="false" outlineLevel="0" collapsed="false">
      <c r="A719" s="10" t="s">
        <v>762</v>
      </c>
      <c r="B719" s="11" t="n">
        <v>46111</v>
      </c>
      <c r="C719" s="10" t="s">
        <v>67</v>
      </c>
      <c r="D719" s="10" t="s">
        <v>68</v>
      </c>
      <c r="E719" s="10" t="s">
        <v>33</v>
      </c>
      <c r="F719" s="10" t="s">
        <v>26</v>
      </c>
      <c r="G719" s="10" t="n">
        <v>1</v>
      </c>
      <c r="H719" s="12" t="n">
        <v>2600</v>
      </c>
      <c r="I719" s="12" t="n">
        <v>2100</v>
      </c>
      <c r="J719" s="13" t="n">
        <f aca="false">G719*H719</f>
        <v>2600</v>
      </c>
      <c r="K719" s="13" t="n">
        <f aca="false">J719-G719*I719</f>
        <v>500</v>
      </c>
    </row>
    <row r="720" customFormat="false" ht="15" hidden="false" customHeight="false" outlineLevel="0" collapsed="false">
      <c r="A720" s="10" t="s">
        <v>763</v>
      </c>
      <c r="B720" s="11" t="n">
        <v>46111</v>
      </c>
      <c r="C720" s="10" t="s">
        <v>55</v>
      </c>
      <c r="D720" s="10" t="s">
        <v>24</v>
      </c>
      <c r="E720" s="10" t="s">
        <v>25</v>
      </c>
      <c r="F720" s="10" t="s">
        <v>34</v>
      </c>
      <c r="G720" s="10" t="n">
        <v>3</v>
      </c>
      <c r="H720" s="12" t="n">
        <v>280</v>
      </c>
      <c r="I720" s="12" t="n">
        <v>190</v>
      </c>
      <c r="J720" s="13" t="n">
        <f aca="false">G720*H720</f>
        <v>840</v>
      </c>
      <c r="K720" s="13" t="n">
        <f aca="false">J720-G720*I720</f>
        <v>270</v>
      </c>
    </row>
    <row r="721" customFormat="false" ht="15" hidden="false" customHeight="false" outlineLevel="0" collapsed="false">
      <c r="A721" s="10" t="s">
        <v>764</v>
      </c>
      <c r="B721" s="11" t="n">
        <v>46112</v>
      </c>
      <c r="C721" s="10" t="s">
        <v>84</v>
      </c>
      <c r="D721" s="10" t="s">
        <v>42</v>
      </c>
      <c r="E721" s="10" t="s">
        <v>33</v>
      </c>
      <c r="F721" s="10" t="s">
        <v>34</v>
      </c>
      <c r="G721" s="10" t="n">
        <v>4</v>
      </c>
      <c r="H721" s="12" t="n">
        <v>480</v>
      </c>
      <c r="I721" s="12" t="n">
        <v>220</v>
      </c>
      <c r="J721" s="13" t="n">
        <f aca="false">G721*H721</f>
        <v>1920</v>
      </c>
      <c r="K721" s="13" t="n">
        <f aca="false">J721-G721*I721</f>
        <v>1040</v>
      </c>
    </row>
    <row r="722" customFormat="false" ht="15" hidden="false" customHeight="false" outlineLevel="0" collapsed="false">
      <c r="A722" s="10" t="s">
        <v>765</v>
      </c>
      <c r="B722" s="11" t="n">
        <v>46112</v>
      </c>
      <c r="C722" s="10" t="s">
        <v>36</v>
      </c>
      <c r="D722" s="10" t="s">
        <v>29</v>
      </c>
      <c r="E722" s="10" t="s">
        <v>25</v>
      </c>
      <c r="F722" s="10" t="s">
        <v>26</v>
      </c>
      <c r="G722" s="10" t="n">
        <v>4</v>
      </c>
      <c r="H722" s="12" t="n">
        <v>380</v>
      </c>
      <c r="I722" s="12" t="n">
        <v>260</v>
      </c>
      <c r="J722" s="13" t="n">
        <f aca="false">G722*H722</f>
        <v>1520</v>
      </c>
      <c r="K722" s="13" t="n">
        <f aca="false">J722-G722*I722</f>
        <v>480</v>
      </c>
    </row>
    <row r="723" customFormat="false" ht="15" hidden="false" customHeight="false" outlineLevel="0" collapsed="false">
      <c r="A723" s="10" t="s">
        <v>766</v>
      </c>
      <c r="B723" s="11" t="n">
        <v>46114</v>
      </c>
      <c r="C723" s="10" t="s">
        <v>51</v>
      </c>
      <c r="D723" s="10" t="s">
        <v>42</v>
      </c>
      <c r="E723" s="10" t="s">
        <v>38</v>
      </c>
      <c r="F723" s="10" t="s">
        <v>34</v>
      </c>
      <c r="G723" s="10" t="n">
        <v>1</v>
      </c>
      <c r="H723" s="12" t="n">
        <v>130</v>
      </c>
      <c r="I723" s="12" t="n">
        <v>60</v>
      </c>
      <c r="J723" s="13" t="n">
        <f aca="false">G723*H723</f>
        <v>130</v>
      </c>
      <c r="K723" s="13" t="n">
        <f aca="false">J723-G723*I723</f>
        <v>70</v>
      </c>
    </row>
    <row r="724" customFormat="false" ht="15" hidden="false" customHeight="false" outlineLevel="0" collapsed="false">
      <c r="A724" s="10" t="s">
        <v>767</v>
      </c>
      <c r="B724" s="11" t="n">
        <v>46115</v>
      </c>
      <c r="C724" s="10" t="s">
        <v>101</v>
      </c>
      <c r="D724" s="10" t="s">
        <v>68</v>
      </c>
      <c r="E724" s="10" t="s">
        <v>33</v>
      </c>
      <c r="F724" s="10" t="s">
        <v>26</v>
      </c>
      <c r="G724" s="10" t="n">
        <v>2</v>
      </c>
      <c r="H724" s="12" t="n">
        <v>4200</v>
      </c>
      <c r="I724" s="12" t="n">
        <v>3300</v>
      </c>
      <c r="J724" s="13" t="n">
        <f aca="false">G724*H724</f>
        <v>8400</v>
      </c>
      <c r="K724" s="13" t="n">
        <f aca="false">J724-G724*I724</f>
        <v>1800</v>
      </c>
    </row>
    <row r="725" customFormat="false" ht="15" hidden="false" customHeight="false" outlineLevel="0" collapsed="false">
      <c r="A725" s="10" t="s">
        <v>768</v>
      </c>
      <c r="B725" s="11" t="n">
        <v>46115</v>
      </c>
      <c r="C725" s="10" t="s">
        <v>28</v>
      </c>
      <c r="D725" s="10" t="s">
        <v>29</v>
      </c>
      <c r="E725" s="10" t="s">
        <v>38</v>
      </c>
      <c r="F725" s="10" t="s">
        <v>34</v>
      </c>
      <c r="G725" s="10" t="n">
        <v>4</v>
      </c>
      <c r="H725" s="12" t="n">
        <v>450</v>
      </c>
      <c r="I725" s="12" t="n">
        <v>280</v>
      </c>
      <c r="J725" s="13" t="n">
        <f aca="false">G725*H725</f>
        <v>1800</v>
      </c>
      <c r="K725" s="13" t="n">
        <f aca="false">J725-G725*I725</f>
        <v>680</v>
      </c>
    </row>
    <row r="726" customFormat="false" ht="15" hidden="false" customHeight="false" outlineLevel="0" collapsed="false">
      <c r="A726" s="10" t="s">
        <v>769</v>
      </c>
      <c r="B726" s="11" t="n">
        <v>46116</v>
      </c>
      <c r="C726" s="10" t="s">
        <v>32</v>
      </c>
      <c r="D726" s="10" t="s">
        <v>29</v>
      </c>
      <c r="E726" s="10" t="s">
        <v>33</v>
      </c>
      <c r="F726" s="10" t="s">
        <v>26</v>
      </c>
      <c r="G726" s="10" t="n">
        <v>2</v>
      </c>
      <c r="H726" s="12" t="n">
        <v>520</v>
      </c>
      <c r="I726" s="12" t="n">
        <v>300</v>
      </c>
      <c r="J726" s="13" t="n">
        <f aca="false">G726*H726</f>
        <v>1040</v>
      </c>
      <c r="K726" s="13" t="n">
        <f aca="false">J726-G726*I726</f>
        <v>440</v>
      </c>
    </row>
    <row r="727" customFormat="false" ht="15" hidden="false" customHeight="false" outlineLevel="0" collapsed="false">
      <c r="A727" s="10" t="s">
        <v>770</v>
      </c>
      <c r="B727" s="11" t="n">
        <v>46116</v>
      </c>
      <c r="C727" s="10" t="s">
        <v>28</v>
      </c>
      <c r="D727" s="10" t="s">
        <v>29</v>
      </c>
      <c r="E727" s="10" t="s">
        <v>25</v>
      </c>
      <c r="F727" s="10" t="s">
        <v>26</v>
      </c>
      <c r="G727" s="10" t="n">
        <v>1</v>
      </c>
      <c r="H727" s="12" t="n">
        <v>450</v>
      </c>
      <c r="I727" s="12" t="n">
        <v>280</v>
      </c>
      <c r="J727" s="13" t="n">
        <f aca="false">G727*H727</f>
        <v>450</v>
      </c>
      <c r="K727" s="13" t="n">
        <f aca="false">J727-G727*I727</f>
        <v>170</v>
      </c>
    </row>
    <row r="728" customFormat="false" ht="15" hidden="false" customHeight="false" outlineLevel="0" collapsed="false">
      <c r="A728" s="10" t="s">
        <v>771</v>
      </c>
      <c r="B728" s="11" t="n">
        <v>46116</v>
      </c>
      <c r="C728" s="10" t="s">
        <v>51</v>
      </c>
      <c r="D728" s="10" t="s">
        <v>42</v>
      </c>
      <c r="E728" s="10" t="s">
        <v>38</v>
      </c>
      <c r="F728" s="10" t="s">
        <v>34</v>
      </c>
      <c r="G728" s="10" t="n">
        <v>3</v>
      </c>
      <c r="H728" s="12" t="n">
        <v>130</v>
      </c>
      <c r="I728" s="12" t="n">
        <v>60</v>
      </c>
      <c r="J728" s="13" t="n">
        <f aca="false">G728*H728</f>
        <v>390</v>
      </c>
      <c r="K728" s="13" t="n">
        <f aca="false">J728-G728*I728</f>
        <v>210</v>
      </c>
    </row>
    <row r="729" customFormat="false" ht="15" hidden="false" customHeight="false" outlineLevel="0" collapsed="false">
      <c r="A729" s="10" t="s">
        <v>772</v>
      </c>
      <c r="B729" s="11" t="n">
        <v>46117</v>
      </c>
      <c r="C729" s="10" t="s">
        <v>41</v>
      </c>
      <c r="D729" s="10" t="s">
        <v>42</v>
      </c>
      <c r="E729" s="10" t="s">
        <v>38</v>
      </c>
      <c r="F729" s="10" t="s">
        <v>34</v>
      </c>
      <c r="G729" s="10" t="n">
        <v>3</v>
      </c>
      <c r="H729" s="12" t="n">
        <v>45</v>
      </c>
      <c r="I729" s="12" t="n">
        <v>20</v>
      </c>
      <c r="J729" s="13" t="n">
        <f aca="false">G729*H729</f>
        <v>135</v>
      </c>
      <c r="K729" s="13" t="n">
        <f aca="false">J729-G729*I729</f>
        <v>75</v>
      </c>
    </row>
    <row r="730" customFormat="false" ht="15" hidden="false" customHeight="false" outlineLevel="0" collapsed="false">
      <c r="A730" s="10" t="s">
        <v>773</v>
      </c>
      <c r="B730" s="11" t="n">
        <v>46117</v>
      </c>
      <c r="C730" s="10" t="s">
        <v>67</v>
      </c>
      <c r="D730" s="10" t="s">
        <v>68</v>
      </c>
      <c r="E730" s="10" t="s">
        <v>38</v>
      </c>
      <c r="F730" s="10" t="s">
        <v>26</v>
      </c>
      <c r="G730" s="10" t="n">
        <v>1</v>
      </c>
      <c r="H730" s="12" t="n">
        <v>2600</v>
      </c>
      <c r="I730" s="12" t="n">
        <v>2100</v>
      </c>
      <c r="J730" s="13" t="n">
        <f aca="false">G730*H730</f>
        <v>2600</v>
      </c>
      <c r="K730" s="13" t="n">
        <f aca="false">J730-G730*I730</f>
        <v>500</v>
      </c>
    </row>
    <row r="731" customFormat="false" ht="15" hidden="false" customHeight="false" outlineLevel="0" collapsed="false">
      <c r="A731" s="10" t="s">
        <v>774</v>
      </c>
      <c r="B731" s="11" t="n">
        <v>46118</v>
      </c>
      <c r="C731" s="10" t="s">
        <v>51</v>
      </c>
      <c r="D731" s="10" t="s">
        <v>42</v>
      </c>
      <c r="E731" s="10" t="s">
        <v>38</v>
      </c>
      <c r="F731" s="10" t="s">
        <v>26</v>
      </c>
      <c r="G731" s="10" t="n">
        <v>4</v>
      </c>
      <c r="H731" s="12" t="n">
        <v>130</v>
      </c>
      <c r="I731" s="12" t="n">
        <v>60</v>
      </c>
      <c r="J731" s="13" t="n">
        <f aca="false">G731*H731</f>
        <v>520</v>
      </c>
      <c r="K731" s="13" t="n">
        <f aca="false">J731-G731*I731</f>
        <v>280</v>
      </c>
    </row>
    <row r="732" customFormat="false" ht="15" hidden="false" customHeight="false" outlineLevel="0" collapsed="false">
      <c r="A732" s="10" t="s">
        <v>775</v>
      </c>
      <c r="B732" s="11" t="n">
        <v>46118</v>
      </c>
      <c r="C732" s="10" t="s">
        <v>84</v>
      </c>
      <c r="D732" s="10" t="s">
        <v>42</v>
      </c>
      <c r="E732" s="10" t="s">
        <v>30</v>
      </c>
      <c r="F732" s="10" t="s">
        <v>26</v>
      </c>
      <c r="G732" s="10" t="n">
        <v>2</v>
      </c>
      <c r="H732" s="12" t="n">
        <v>480</v>
      </c>
      <c r="I732" s="12" t="n">
        <v>220</v>
      </c>
      <c r="J732" s="13" t="n">
        <f aca="false">G732*H732</f>
        <v>960</v>
      </c>
      <c r="K732" s="13" t="n">
        <f aca="false">J732-G732*I732</f>
        <v>520</v>
      </c>
    </row>
    <row r="733" customFormat="false" ht="15" hidden="false" customHeight="false" outlineLevel="0" collapsed="false">
      <c r="A733" s="10" t="s">
        <v>776</v>
      </c>
      <c r="B733" s="11" t="n">
        <v>46122</v>
      </c>
      <c r="C733" s="10" t="s">
        <v>49</v>
      </c>
      <c r="D733" s="10" t="s">
        <v>24</v>
      </c>
      <c r="E733" s="10" t="s">
        <v>38</v>
      </c>
      <c r="F733" s="10" t="s">
        <v>26</v>
      </c>
      <c r="G733" s="10" t="n">
        <v>4</v>
      </c>
      <c r="H733" s="12" t="n">
        <v>250</v>
      </c>
      <c r="I733" s="12" t="n">
        <v>170</v>
      </c>
      <c r="J733" s="13" t="n">
        <f aca="false">G733*H733</f>
        <v>1000</v>
      </c>
      <c r="K733" s="13" t="n">
        <f aca="false">J733-G733*I733</f>
        <v>320</v>
      </c>
    </row>
    <row r="734" customFormat="false" ht="15" hidden="false" customHeight="false" outlineLevel="0" collapsed="false">
      <c r="A734" s="10" t="s">
        <v>777</v>
      </c>
      <c r="B734" s="11" t="n">
        <v>46122</v>
      </c>
      <c r="C734" s="10" t="s">
        <v>53</v>
      </c>
      <c r="D734" s="10" t="s">
        <v>24</v>
      </c>
      <c r="E734" s="10" t="s">
        <v>30</v>
      </c>
      <c r="F734" s="10" t="s">
        <v>26</v>
      </c>
      <c r="G734" s="10" t="n">
        <v>4</v>
      </c>
      <c r="H734" s="12" t="n">
        <v>300</v>
      </c>
      <c r="I734" s="12" t="n">
        <v>200</v>
      </c>
      <c r="J734" s="13" t="n">
        <f aca="false">G734*H734</f>
        <v>1200</v>
      </c>
      <c r="K734" s="13" t="n">
        <f aca="false">J734-G734*I734</f>
        <v>400</v>
      </c>
    </row>
    <row r="735" customFormat="false" ht="15" hidden="false" customHeight="false" outlineLevel="0" collapsed="false">
      <c r="A735" s="10" t="s">
        <v>778</v>
      </c>
      <c r="B735" s="11" t="n">
        <v>46123</v>
      </c>
      <c r="C735" s="10" t="s">
        <v>41</v>
      </c>
      <c r="D735" s="10" t="s">
        <v>42</v>
      </c>
      <c r="E735" s="10" t="s">
        <v>57</v>
      </c>
      <c r="F735" s="10" t="s">
        <v>34</v>
      </c>
      <c r="G735" s="10" t="n">
        <v>4</v>
      </c>
      <c r="H735" s="12" t="n">
        <v>45</v>
      </c>
      <c r="I735" s="12" t="n">
        <v>20</v>
      </c>
      <c r="J735" s="13" t="n">
        <f aca="false">G735*H735</f>
        <v>180</v>
      </c>
      <c r="K735" s="13" t="n">
        <f aca="false">J735-G735*I735</f>
        <v>100</v>
      </c>
    </row>
    <row r="736" customFormat="false" ht="15" hidden="false" customHeight="false" outlineLevel="0" collapsed="false">
      <c r="A736" s="10" t="s">
        <v>779</v>
      </c>
      <c r="B736" s="11" t="n">
        <v>46124</v>
      </c>
      <c r="C736" s="10" t="s">
        <v>55</v>
      </c>
      <c r="D736" s="10" t="s">
        <v>24</v>
      </c>
      <c r="E736" s="10" t="s">
        <v>33</v>
      </c>
      <c r="F736" s="10" t="s">
        <v>26</v>
      </c>
      <c r="G736" s="10" t="n">
        <v>3</v>
      </c>
      <c r="H736" s="12" t="n">
        <v>280</v>
      </c>
      <c r="I736" s="12" t="n">
        <v>190</v>
      </c>
      <c r="J736" s="13" t="n">
        <f aca="false">G736*H736</f>
        <v>840</v>
      </c>
      <c r="K736" s="13" t="n">
        <f aca="false">J736-G736*I736</f>
        <v>270</v>
      </c>
    </row>
    <row r="737" customFormat="false" ht="15" hidden="false" customHeight="false" outlineLevel="0" collapsed="false">
      <c r="A737" s="10" t="s">
        <v>780</v>
      </c>
      <c r="B737" s="11" t="n">
        <v>46125</v>
      </c>
      <c r="C737" s="10" t="s">
        <v>32</v>
      </c>
      <c r="D737" s="10" t="s">
        <v>29</v>
      </c>
      <c r="E737" s="10" t="s">
        <v>30</v>
      </c>
      <c r="F737" s="10" t="s">
        <v>34</v>
      </c>
      <c r="G737" s="10" t="n">
        <v>3</v>
      </c>
      <c r="H737" s="12" t="n">
        <v>520</v>
      </c>
      <c r="I737" s="12" t="n">
        <v>300</v>
      </c>
      <c r="J737" s="13" t="n">
        <f aca="false">G737*H737</f>
        <v>1560</v>
      </c>
      <c r="K737" s="13" t="n">
        <f aca="false">J737-G737*I737</f>
        <v>660</v>
      </c>
    </row>
    <row r="738" customFormat="false" ht="15" hidden="false" customHeight="false" outlineLevel="0" collapsed="false">
      <c r="A738" s="10" t="s">
        <v>781</v>
      </c>
      <c r="B738" s="11" t="n">
        <v>46127</v>
      </c>
      <c r="C738" s="10" t="s">
        <v>32</v>
      </c>
      <c r="D738" s="10" t="s">
        <v>29</v>
      </c>
      <c r="E738" s="10" t="s">
        <v>33</v>
      </c>
      <c r="F738" s="10" t="s">
        <v>26</v>
      </c>
      <c r="G738" s="10" t="n">
        <v>1</v>
      </c>
      <c r="H738" s="12" t="n">
        <v>520</v>
      </c>
      <c r="I738" s="12" t="n">
        <v>300</v>
      </c>
      <c r="J738" s="13" t="n">
        <f aca="false">G738*H738</f>
        <v>520</v>
      </c>
      <c r="K738" s="13" t="n">
        <f aca="false">J738-G738*I738</f>
        <v>220</v>
      </c>
    </row>
    <row r="739" customFormat="false" ht="15" hidden="false" customHeight="false" outlineLevel="0" collapsed="false">
      <c r="A739" s="10" t="s">
        <v>782</v>
      </c>
      <c r="B739" s="11" t="n">
        <v>46128</v>
      </c>
      <c r="C739" s="10" t="s">
        <v>53</v>
      </c>
      <c r="D739" s="10" t="s">
        <v>24</v>
      </c>
      <c r="E739" s="10" t="s">
        <v>38</v>
      </c>
      <c r="F739" s="10" t="s">
        <v>34</v>
      </c>
      <c r="G739" s="10" t="n">
        <v>4</v>
      </c>
      <c r="H739" s="12" t="n">
        <v>300</v>
      </c>
      <c r="I739" s="12" t="n">
        <v>200</v>
      </c>
      <c r="J739" s="13" t="n">
        <f aca="false">G739*H739</f>
        <v>1200</v>
      </c>
      <c r="K739" s="13" t="n">
        <f aca="false">J739-G739*I739</f>
        <v>400</v>
      </c>
    </row>
    <row r="740" customFormat="false" ht="15" hidden="false" customHeight="false" outlineLevel="0" collapsed="false">
      <c r="A740" s="10" t="s">
        <v>783</v>
      </c>
      <c r="B740" s="11" t="n">
        <v>46128</v>
      </c>
      <c r="C740" s="10" t="s">
        <v>41</v>
      </c>
      <c r="D740" s="10" t="s">
        <v>42</v>
      </c>
      <c r="E740" s="10" t="s">
        <v>33</v>
      </c>
      <c r="F740" s="10" t="s">
        <v>34</v>
      </c>
      <c r="G740" s="10" t="n">
        <v>2</v>
      </c>
      <c r="H740" s="12" t="n">
        <v>45</v>
      </c>
      <c r="I740" s="12" t="n">
        <v>20</v>
      </c>
      <c r="J740" s="13" t="n">
        <f aca="false">G740*H740</f>
        <v>90</v>
      </c>
      <c r="K740" s="13" t="n">
        <f aca="false">J740-G740*I740</f>
        <v>50</v>
      </c>
    </row>
    <row r="741" customFormat="false" ht="15" hidden="false" customHeight="false" outlineLevel="0" collapsed="false">
      <c r="A741" s="10" t="s">
        <v>784</v>
      </c>
      <c r="B741" s="11" t="n">
        <v>46129</v>
      </c>
      <c r="C741" s="10" t="s">
        <v>23</v>
      </c>
      <c r="D741" s="10" t="s">
        <v>24</v>
      </c>
      <c r="E741" s="10" t="s">
        <v>30</v>
      </c>
      <c r="F741" s="10" t="s">
        <v>26</v>
      </c>
      <c r="G741" s="10" t="n">
        <v>1</v>
      </c>
      <c r="H741" s="12" t="n">
        <v>260</v>
      </c>
      <c r="I741" s="12" t="n">
        <v>180</v>
      </c>
      <c r="J741" s="13" t="n">
        <f aca="false">G741*H741</f>
        <v>260</v>
      </c>
      <c r="K741" s="13" t="n">
        <f aca="false">J741-G741*I741</f>
        <v>80</v>
      </c>
    </row>
    <row r="742" customFormat="false" ht="15" hidden="false" customHeight="false" outlineLevel="0" collapsed="false">
      <c r="A742" s="10" t="s">
        <v>785</v>
      </c>
      <c r="B742" s="11" t="n">
        <v>46130</v>
      </c>
      <c r="C742" s="10" t="s">
        <v>41</v>
      </c>
      <c r="D742" s="10" t="s">
        <v>42</v>
      </c>
      <c r="E742" s="10" t="s">
        <v>38</v>
      </c>
      <c r="F742" s="10" t="s">
        <v>34</v>
      </c>
      <c r="G742" s="10" t="n">
        <v>4</v>
      </c>
      <c r="H742" s="12" t="n">
        <v>45</v>
      </c>
      <c r="I742" s="12" t="n">
        <v>20</v>
      </c>
      <c r="J742" s="13" t="n">
        <f aca="false">G742*H742</f>
        <v>180</v>
      </c>
      <c r="K742" s="13" t="n">
        <f aca="false">J742-G742*I742</f>
        <v>100</v>
      </c>
    </row>
    <row r="743" customFormat="false" ht="15" hidden="false" customHeight="false" outlineLevel="0" collapsed="false">
      <c r="A743" s="10" t="s">
        <v>786</v>
      </c>
      <c r="B743" s="11" t="n">
        <v>46130</v>
      </c>
      <c r="C743" s="10" t="s">
        <v>36</v>
      </c>
      <c r="D743" s="10" t="s">
        <v>29</v>
      </c>
      <c r="E743" s="10" t="s">
        <v>38</v>
      </c>
      <c r="F743" s="10" t="s">
        <v>26</v>
      </c>
      <c r="G743" s="10" t="n">
        <v>2</v>
      </c>
      <c r="H743" s="12" t="n">
        <v>380</v>
      </c>
      <c r="I743" s="12" t="n">
        <v>260</v>
      </c>
      <c r="J743" s="13" t="n">
        <f aca="false">G743*H743</f>
        <v>760</v>
      </c>
      <c r="K743" s="13" t="n">
        <f aca="false">J743-G743*I743</f>
        <v>240</v>
      </c>
    </row>
    <row r="744" customFormat="false" ht="15" hidden="false" customHeight="false" outlineLevel="0" collapsed="false">
      <c r="A744" s="10" t="s">
        <v>787</v>
      </c>
      <c r="B744" s="11" t="n">
        <v>46131</v>
      </c>
      <c r="C744" s="10" t="s">
        <v>32</v>
      </c>
      <c r="D744" s="10" t="s">
        <v>29</v>
      </c>
      <c r="E744" s="10" t="s">
        <v>30</v>
      </c>
      <c r="F744" s="10" t="s">
        <v>34</v>
      </c>
      <c r="G744" s="10" t="n">
        <v>3</v>
      </c>
      <c r="H744" s="12" t="n">
        <v>520</v>
      </c>
      <c r="I744" s="12" t="n">
        <v>300</v>
      </c>
      <c r="J744" s="13" t="n">
        <f aca="false">G744*H744</f>
        <v>1560</v>
      </c>
      <c r="K744" s="13" t="n">
        <f aca="false">J744-G744*I744</f>
        <v>660</v>
      </c>
    </row>
    <row r="745" customFormat="false" ht="15" hidden="false" customHeight="false" outlineLevel="0" collapsed="false">
      <c r="A745" s="10" t="s">
        <v>788</v>
      </c>
      <c r="B745" s="11" t="n">
        <v>46132</v>
      </c>
      <c r="C745" s="10" t="s">
        <v>32</v>
      </c>
      <c r="D745" s="10" t="s">
        <v>29</v>
      </c>
      <c r="E745" s="10" t="s">
        <v>33</v>
      </c>
      <c r="F745" s="10" t="s">
        <v>34</v>
      </c>
      <c r="G745" s="10" t="n">
        <v>4</v>
      </c>
      <c r="H745" s="12" t="n">
        <v>520</v>
      </c>
      <c r="I745" s="12" t="n">
        <v>300</v>
      </c>
      <c r="J745" s="13" t="n">
        <f aca="false">G745*H745</f>
        <v>2080</v>
      </c>
      <c r="K745" s="13" t="n">
        <f aca="false">J745-G745*I745</f>
        <v>880</v>
      </c>
    </row>
    <row r="746" customFormat="false" ht="15" hidden="false" customHeight="false" outlineLevel="0" collapsed="false">
      <c r="A746" s="10" t="s">
        <v>789</v>
      </c>
      <c r="B746" s="11" t="n">
        <v>46132</v>
      </c>
      <c r="C746" s="10" t="s">
        <v>55</v>
      </c>
      <c r="D746" s="10" t="s">
        <v>24</v>
      </c>
      <c r="E746" s="10" t="s">
        <v>33</v>
      </c>
      <c r="F746" s="10" t="s">
        <v>26</v>
      </c>
      <c r="G746" s="10" t="n">
        <v>4</v>
      </c>
      <c r="H746" s="12" t="n">
        <v>280</v>
      </c>
      <c r="I746" s="12" t="n">
        <v>190</v>
      </c>
      <c r="J746" s="13" t="n">
        <f aca="false">G746*H746</f>
        <v>1120</v>
      </c>
      <c r="K746" s="13" t="n">
        <f aca="false">J746-G746*I746</f>
        <v>360</v>
      </c>
    </row>
    <row r="747" customFormat="false" ht="15" hidden="false" customHeight="false" outlineLevel="0" collapsed="false">
      <c r="A747" s="10" t="s">
        <v>790</v>
      </c>
      <c r="B747" s="11" t="n">
        <v>46132</v>
      </c>
      <c r="C747" s="10" t="s">
        <v>23</v>
      </c>
      <c r="D747" s="10" t="s">
        <v>24</v>
      </c>
      <c r="E747" s="10" t="s">
        <v>30</v>
      </c>
      <c r="F747" s="10" t="s">
        <v>34</v>
      </c>
      <c r="G747" s="10" t="n">
        <v>4</v>
      </c>
      <c r="H747" s="12" t="n">
        <v>260</v>
      </c>
      <c r="I747" s="12" t="n">
        <v>180</v>
      </c>
      <c r="J747" s="13" t="n">
        <f aca="false">G747*H747</f>
        <v>1040</v>
      </c>
      <c r="K747" s="13" t="n">
        <f aca="false">J747-G747*I747</f>
        <v>320</v>
      </c>
    </row>
    <row r="748" customFormat="false" ht="15" hidden="false" customHeight="false" outlineLevel="0" collapsed="false">
      <c r="A748" s="10" t="s">
        <v>791</v>
      </c>
      <c r="B748" s="11" t="n">
        <v>46133</v>
      </c>
      <c r="C748" s="10" t="s">
        <v>32</v>
      </c>
      <c r="D748" s="10" t="s">
        <v>29</v>
      </c>
      <c r="E748" s="10" t="s">
        <v>57</v>
      </c>
      <c r="F748" s="10" t="s">
        <v>26</v>
      </c>
      <c r="G748" s="10" t="n">
        <v>3</v>
      </c>
      <c r="H748" s="12" t="n">
        <v>520</v>
      </c>
      <c r="I748" s="12" t="n">
        <v>300</v>
      </c>
      <c r="J748" s="13" t="n">
        <f aca="false">G748*H748</f>
        <v>1560</v>
      </c>
      <c r="K748" s="13" t="n">
        <f aca="false">J748-G748*I748</f>
        <v>660</v>
      </c>
    </row>
    <row r="749" customFormat="false" ht="15" hidden="false" customHeight="false" outlineLevel="0" collapsed="false">
      <c r="A749" s="10" t="s">
        <v>792</v>
      </c>
      <c r="B749" s="11" t="n">
        <v>46134</v>
      </c>
      <c r="C749" s="10" t="s">
        <v>84</v>
      </c>
      <c r="D749" s="10" t="s">
        <v>42</v>
      </c>
      <c r="E749" s="10" t="s">
        <v>25</v>
      </c>
      <c r="F749" s="10" t="s">
        <v>26</v>
      </c>
      <c r="G749" s="10" t="n">
        <v>3</v>
      </c>
      <c r="H749" s="12" t="n">
        <v>480</v>
      </c>
      <c r="I749" s="12" t="n">
        <v>220</v>
      </c>
      <c r="J749" s="13" t="n">
        <f aca="false">G749*H749</f>
        <v>1440</v>
      </c>
      <c r="K749" s="13" t="n">
        <f aca="false">J749-G749*I749</f>
        <v>780</v>
      </c>
    </row>
    <row r="750" customFormat="false" ht="15" hidden="false" customHeight="false" outlineLevel="0" collapsed="false">
      <c r="A750" s="10" t="s">
        <v>793</v>
      </c>
      <c r="B750" s="11" t="n">
        <v>46135</v>
      </c>
      <c r="C750" s="10" t="s">
        <v>67</v>
      </c>
      <c r="D750" s="10" t="s">
        <v>68</v>
      </c>
      <c r="E750" s="10" t="s">
        <v>25</v>
      </c>
      <c r="F750" s="10" t="s">
        <v>26</v>
      </c>
      <c r="G750" s="10" t="n">
        <v>1</v>
      </c>
      <c r="H750" s="12" t="n">
        <v>2600</v>
      </c>
      <c r="I750" s="12" t="n">
        <v>2100</v>
      </c>
      <c r="J750" s="13" t="n">
        <f aca="false">G750*H750</f>
        <v>2600</v>
      </c>
      <c r="K750" s="13" t="n">
        <f aca="false">J750-G750*I750</f>
        <v>500</v>
      </c>
    </row>
    <row r="751" customFormat="false" ht="15" hidden="false" customHeight="false" outlineLevel="0" collapsed="false">
      <c r="A751" s="10" t="s">
        <v>794</v>
      </c>
      <c r="B751" s="11" t="n">
        <v>46135</v>
      </c>
      <c r="C751" s="10" t="s">
        <v>28</v>
      </c>
      <c r="D751" s="10" t="s">
        <v>29</v>
      </c>
      <c r="E751" s="10" t="s">
        <v>38</v>
      </c>
      <c r="F751" s="10" t="s">
        <v>26</v>
      </c>
      <c r="G751" s="10" t="n">
        <v>4</v>
      </c>
      <c r="H751" s="12" t="n">
        <v>450</v>
      </c>
      <c r="I751" s="12" t="n">
        <v>280</v>
      </c>
      <c r="J751" s="13" t="n">
        <f aca="false">G751*H751</f>
        <v>1800</v>
      </c>
      <c r="K751" s="13" t="n">
        <f aca="false">J751-G751*I751</f>
        <v>680</v>
      </c>
    </row>
    <row r="752" customFormat="false" ht="15" hidden="false" customHeight="false" outlineLevel="0" collapsed="false">
      <c r="A752" s="10" t="s">
        <v>795</v>
      </c>
      <c r="B752" s="11" t="n">
        <v>46135</v>
      </c>
      <c r="C752" s="10" t="s">
        <v>51</v>
      </c>
      <c r="D752" s="10" t="s">
        <v>42</v>
      </c>
      <c r="E752" s="10" t="s">
        <v>25</v>
      </c>
      <c r="F752" s="10" t="s">
        <v>34</v>
      </c>
      <c r="G752" s="10" t="n">
        <v>4</v>
      </c>
      <c r="H752" s="12" t="n">
        <v>130</v>
      </c>
      <c r="I752" s="12" t="n">
        <v>60</v>
      </c>
      <c r="J752" s="13" t="n">
        <f aca="false">G752*H752</f>
        <v>520</v>
      </c>
      <c r="K752" s="13" t="n">
        <f aca="false">J752-G752*I752</f>
        <v>280</v>
      </c>
    </row>
    <row r="753" customFormat="false" ht="15" hidden="false" customHeight="false" outlineLevel="0" collapsed="false">
      <c r="A753" s="10" t="s">
        <v>796</v>
      </c>
      <c r="B753" s="11" t="n">
        <v>46136</v>
      </c>
      <c r="C753" s="10" t="s">
        <v>28</v>
      </c>
      <c r="D753" s="10" t="s">
        <v>29</v>
      </c>
      <c r="E753" s="10" t="s">
        <v>38</v>
      </c>
      <c r="F753" s="10" t="s">
        <v>34</v>
      </c>
      <c r="G753" s="10" t="n">
        <v>4</v>
      </c>
      <c r="H753" s="12" t="n">
        <v>450</v>
      </c>
      <c r="I753" s="12" t="n">
        <v>280</v>
      </c>
      <c r="J753" s="13" t="n">
        <f aca="false">G753*H753</f>
        <v>1800</v>
      </c>
      <c r="K753" s="13" t="n">
        <f aca="false">J753-G753*I753</f>
        <v>680</v>
      </c>
    </row>
    <row r="754" customFormat="false" ht="15" hidden="false" customHeight="false" outlineLevel="0" collapsed="false">
      <c r="A754" s="10" t="s">
        <v>797</v>
      </c>
      <c r="B754" s="11" t="n">
        <v>46137</v>
      </c>
      <c r="C754" s="10" t="s">
        <v>23</v>
      </c>
      <c r="D754" s="10" t="s">
        <v>24</v>
      </c>
      <c r="E754" s="10" t="s">
        <v>30</v>
      </c>
      <c r="F754" s="10" t="s">
        <v>34</v>
      </c>
      <c r="G754" s="10" t="n">
        <v>2</v>
      </c>
      <c r="H754" s="12" t="n">
        <v>260</v>
      </c>
      <c r="I754" s="12" t="n">
        <v>180</v>
      </c>
      <c r="J754" s="13" t="n">
        <f aca="false">G754*H754</f>
        <v>520</v>
      </c>
      <c r="K754" s="13" t="n">
        <f aca="false">J754-G754*I754</f>
        <v>160</v>
      </c>
    </row>
    <row r="755" customFormat="false" ht="15" hidden="false" customHeight="false" outlineLevel="0" collapsed="false">
      <c r="A755" s="10" t="s">
        <v>798</v>
      </c>
      <c r="B755" s="11" t="n">
        <v>46138</v>
      </c>
      <c r="C755" s="10" t="s">
        <v>84</v>
      </c>
      <c r="D755" s="10" t="s">
        <v>42</v>
      </c>
      <c r="E755" s="10" t="s">
        <v>38</v>
      </c>
      <c r="F755" s="10" t="s">
        <v>34</v>
      </c>
      <c r="G755" s="10" t="n">
        <v>1</v>
      </c>
      <c r="H755" s="12" t="n">
        <v>480</v>
      </c>
      <c r="I755" s="12" t="n">
        <v>220</v>
      </c>
      <c r="J755" s="13" t="n">
        <f aca="false">G755*H755</f>
        <v>480</v>
      </c>
      <c r="K755" s="13" t="n">
        <f aca="false">J755-G755*I755</f>
        <v>260</v>
      </c>
    </row>
    <row r="756" customFormat="false" ht="15" hidden="false" customHeight="false" outlineLevel="0" collapsed="false">
      <c r="A756" s="10" t="s">
        <v>799</v>
      </c>
      <c r="B756" s="11" t="n">
        <v>46141</v>
      </c>
      <c r="C756" s="10" t="s">
        <v>36</v>
      </c>
      <c r="D756" s="10" t="s">
        <v>29</v>
      </c>
      <c r="E756" s="10" t="s">
        <v>33</v>
      </c>
      <c r="F756" s="10" t="s">
        <v>26</v>
      </c>
      <c r="G756" s="10" t="n">
        <v>1</v>
      </c>
      <c r="H756" s="12" t="n">
        <v>380</v>
      </c>
      <c r="I756" s="12" t="n">
        <v>260</v>
      </c>
      <c r="J756" s="13" t="n">
        <f aca="false">G756*H756</f>
        <v>380</v>
      </c>
      <c r="K756" s="13" t="n">
        <f aca="false">J756-G756*I756</f>
        <v>120</v>
      </c>
    </row>
    <row r="757" customFormat="false" ht="15" hidden="false" customHeight="false" outlineLevel="0" collapsed="false">
      <c r="A757" s="10" t="s">
        <v>800</v>
      </c>
      <c r="B757" s="11" t="n">
        <v>46141</v>
      </c>
      <c r="C757" s="10" t="s">
        <v>36</v>
      </c>
      <c r="D757" s="10" t="s">
        <v>29</v>
      </c>
      <c r="E757" s="10" t="s">
        <v>38</v>
      </c>
      <c r="F757" s="10" t="s">
        <v>34</v>
      </c>
      <c r="G757" s="10" t="n">
        <v>2</v>
      </c>
      <c r="H757" s="12" t="n">
        <v>380</v>
      </c>
      <c r="I757" s="12" t="n">
        <v>260</v>
      </c>
      <c r="J757" s="13" t="n">
        <f aca="false">G757*H757</f>
        <v>760</v>
      </c>
      <c r="K757" s="13" t="n">
        <f aca="false">J757-G757*I757</f>
        <v>240</v>
      </c>
    </row>
    <row r="758" customFormat="false" ht="15" hidden="false" customHeight="false" outlineLevel="0" collapsed="false">
      <c r="A758" s="10" t="s">
        <v>801</v>
      </c>
      <c r="B758" s="11" t="n">
        <v>46142</v>
      </c>
      <c r="C758" s="10" t="s">
        <v>23</v>
      </c>
      <c r="D758" s="10" t="s">
        <v>24</v>
      </c>
      <c r="E758" s="10" t="s">
        <v>38</v>
      </c>
      <c r="F758" s="10" t="s">
        <v>34</v>
      </c>
      <c r="G758" s="10" t="n">
        <v>1</v>
      </c>
      <c r="H758" s="12" t="n">
        <v>260</v>
      </c>
      <c r="I758" s="12" t="n">
        <v>180</v>
      </c>
      <c r="J758" s="13" t="n">
        <f aca="false">G758*H758</f>
        <v>260</v>
      </c>
      <c r="K758" s="13" t="n">
        <f aca="false">J758-G758*I758</f>
        <v>80</v>
      </c>
    </row>
    <row r="759" customFormat="false" ht="15" hidden="false" customHeight="false" outlineLevel="0" collapsed="false">
      <c r="A759" s="10" t="s">
        <v>802</v>
      </c>
      <c r="B759" s="11" t="n">
        <v>46148</v>
      </c>
      <c r="C759" s="10" t="s">
        <v>23</v>
      </c>
      <c r="D759" s="10" t="s">
        <v>24</v>
      </c>
      <c r="E759" s="10" t="s">
        <v>38</v>
      </c>
      <c r="F759" s="10" t="s">
        <v>26</v>
      </c>
      <c r="G759" s="10" t="n">
        <v>1</v>
      </c>
      <c r="H759" s="12" t="n">
        <v>260</v>
      </c>
      <c r="I759" s="12" t="n">
        <v>180</v>
      </c>
      <c r="J759" s="13" t="n">
        <f aca="false">G759*H759</f>
        <v>260</v>
      </c>
      <c r="K759" s="13" t="n">
        <f aca="false">J759-G759*I759</f>
        <v>80</v>
      </c>
    </row>
    <row r="760" customFormat="false" ht="15" hidden="false" customHeight="false" outlineLevel="0" collapsed="false">
      <c r="A760" s="10" t="s">
        <v>803</v>
      </c>
      <c r="B760" s="11" t="n">
        <v>46149</v>
      </c>
      <c r="C760" s="10" t="s">
        <v>67</v>
      </c>
      <c r="D760" s="10" t="s">
        <v>68</v>
      </c>
      <c r="E760" s="10" t="s">
        <v>38</v>
      </c>
      <c r="F760" s="10" t="s">
        <v>34</v>
      </c>
      <c r="G760" s="10" t="n">
        <v>2</v>
      </c>
      <c r="H760" s="12" t="n">
        <v>2600</v>
      </c>
      <c r="I760" s="12" t="n">
        <v>2100</v>
      </c>
      <c r="J760" s="13" t="n">
        <f aca="false">G760*H760</f>
        <v>5200</v>
      </c>
      <c r="K760" s="13" t="n">
        <f aca="false">J760-G760*I760</f>
        <v>1000</v>
      </c>
    </row>
    <row r="761" customFormat="false" ht="15" hidden="false" customHeight="false" outlineLevel="0" collapsed="false">
      <c r="A761" s="10" t="s">
        <v>804</v>
      </c>
      <c r="B761" s="11" t="n">
        <v>46150</v>
      </c>
      <c r="C761" s="10" t="s">
        <v>32</v>
      </c>
      <c r="D761" s="10" t="s">
        <v>29</v>
      </c>
      <c r="E761" s="10" t="s">
        <v>38</v>
      </c>
      <c r="F761" s="10" t="s">
        <v>34</v>
      </c>
      <c r="G761" s="10" t="n">
        <v>3</v>
      </c>
      <c r="H761" s="12" t="n">
        <v>520</v>
      </c>
      <c r="I761" s="12" t="n">
        <v>300</v>
      </c>
      <c r="J761" s="13" t="n">
        <f aca="false">G761*H761</f>
        <v>1560</v>
      </c>
      <c r="K761" s="13" t="n">
        <f aca="false">J761-G761*I761</f>
        <v>660</v>
      </c>
    </row>
    <row r="762" customFormat="false" ht="15" hidden="false" customHeight="false" outlineLevel="0" collapsed="false">
      <c r="A762" s="10" t="s">
        <v>805</v>
      </c>
      <c r="B762" s="11" t="n">
        <v>46151</v>
      </c>
      <c r="C762" s="10" t="s">
        <v>41</v>
      </c>
      <c r="D762" s="10" t="s">
        <v>42</v>
      </c>
      <c r="E762" s="10" t="s">
        <v>38</v>
      </c>
      <c r="F762" s="10" t="s">
        <v>26</v>
      </c>
      <c r="G762" s="10" t="n">
        <v>2</v>
      </c>
      <c r="H762" s="12" t="n">
        <v>45</v>
      </c>
      <c r="I762" s="12" t="n">
        <v>20</v>
      </c>
      <c r="J762" s="13" t="n">
        <f aca="false">G762*H762</f>
        <v>90</v>
      </c>
      <c r="K762" s="13" t="n">
        <f aca="false">J762-G762*I762</f>
        <v>50</v>
      </c>
    </row>
    <row r="763" customFormat="false" ht="15" hidden="false" customHeight="false" outlineLevel="0" collapsed="false">
      <c r="A763" s="10" t="s">
        <v>806</v>
      </c>
      <c r="B763" s="11" t="n">
        <v>46151</v>
      </c>
      <c r="C763" s="10" t="s">
        <v>49</v>
      </c>
      <c r="D763" s="10" t="s">
        <v>24</v>
      </c>
      <c r="E763" s="10" t="s">
        <v>38</v>
      </c>
      <c r="F763" s="10" t="s">
        <v>34</v>
      </c>
      <c r="G763" s="10" t="n">
        <v>1</v>
      </c>
      <c r="H763" s="12" t="n">
        <v>250</v>
      </c>
      <c r="I763" s="12" t="n">
        <v>170</v>
      </c>
      <c r="J763" s="13" t="n">
        <f aca="false">G763*H763</f>
        <v>250</v>
      </c>
      <c r="K763" s="13" t="n">
        <f aca="false">J763-G763*I763</f>
        <v>80</v>
      </c>
    </row>
    <row r="764" customFormat="false" ht="15" hidden="false" customHeight="false" outlineLevel="0" collapsed="false">
      <c r="A764" s="10" t="s">
        <v>807</v>
      </c>
      <c r="B764" s="11" t="n">
        <v>46152</v>
      </c>
      <c r="C764" s="10" t="s">
        <v>84</v>
      </c>
      <c r="D764" s="10" t="s">
        <v>42</v>
      </c>
      <c r="E764" s="10" t="s">
        <v>33</v>
      </c>
      <c r="F764" s="10" t="s">
        <v>26</v>
      </c>
      <c r="G764" s="10" t="n">
        <v>1</v>
      </c>
      <c r="H764" s="12" t="n">
        <v>480</v>
      </c>
      <c r="I764" s="12" t="n">
        <v>220</v>
      </c>
      <c r="J764" s="13" t="n">
        <f aca="false">G764*H764</f>
        <v>480</v>
      </c>
      <c r="K764" s="13" t="n">
        <f aca="false">J764-G764*I764</f>
        <v>260</v>
      </c>
    </row>
    <row r="765" customFormat="false" ht="15" hidden="false" customHeight="false" outlineLevel="0" collapsed="false">
      <c r="A765" s="10" t="s">
        <v>808</v>
      </c>
      <c r="B765" s="11" t="n">
        <v>46152</v>
      </c>
      <c r="C765" s="10" t="s">
        <v>49</v>
      </c>
      <c r="D765" s="10" t="s">
        <v>24</v>
      </c>
      <c r="E765" s="10" t="s">
        <v>38</v>
      </c>
      <c r="F765" s="10" t="s">
        <v>26</v>
      </c>
      <c r="G765" s="10" t="n">
        <v>3</v>
      </c>
      <c r="H765" s="12" t="n">
        <v>250</v>
      </c>
      <c r="I765" s="12" t="n">
        <v>170</v>
      </c>
      <c r="J765" s="13" t="n">
        <f aca="false">G765*H765</f>
        <v>750</v>
      </c>
      <c r="K765" s="13" t="n">
        <f aca="false">J765-G765*I765</f>
        <v>240</v>
      </c>
    </row>
    <row r="766" customFormat="false" ht="15" hidden="false" customHeight="false" outlineLevel="0" collapsed="false">
      <c r="A766" s="10" t="s">
        <v>809</v>
      </c>
      <c r="B766" s="11" t="n">
        <v>46153</v>
      </c>
      <c r="C766" s="10" t="s">
        <v>67</v>
      </c>
      <c r="D766" s="10" t="s">
        <v>68</v>
      </c>
      <c r="E766" s="10" t="s">
        <v>33</v>
      </c>
      <c r="F766" s="10" t="s">
        <v>26</v>
      </c>
      <c r="G766" s="10" t="n">
        <v>1</v>
      </c>
      <c r="H766" s="12" t="n">
        <v>2600</v>
      </c>
      <c r="I766" s="12" t="n">
        <v>2100</v>
      </c>
      <c r="J766" s="13" t="n">
        <f aca="false">G766*H766</f>
        <v>2600</v>
      </c>
      <c r="K766" s="13" t="n">
        <f aca="false">J766-G766*I766</f>
        <v>500</v>
      </c>
    </row>
    <row r="767" customFormat="false" ht="15" hidden="false" customHeight="false" outlineLevel="0" collapsed="false">
      <c r="A767" s="10" t="s">
        <v>810</v>
      </c>
      <c r="B767" s="11" t="n">
        <v>46154</v>
      </c>
      <c r="C767" s="10" t="s">
        <v>55</v>
      </c>
      <c r="D767" s="10" t="s">
        <v>24</v>
      </c>
      <c r="E767" s="10" t="s">
        <v>38</v>
      </c>
      <c r="F767" s="10" t="s">
        <v>26</v>
      </c>
      <c r="G767" s="10" t="n">
        <v>2</v>
      </c>
      <c r="H767" s="12" t="n">
        <v>280</v>
      </c>
      <c r="I767" s="12" t="n">
        <v>190</v>
      </c>
      <c r="J767" s="13" t="n">
        <f aca="false">G767*H767</f>
        <v>560</v>
      </c>
      <c r="K767" s="13" t="n">
        <f aca="false">J767-G767*I767</f>
        <v>180</v>
      </c>
    </row>
    <row r="768" customFormat="false" ht="15" hidden="false" customHeight="false" outlineLevel="0" collapsed="false">
      <c r="A768" s="10" t="s">
        <v>811</v>
      </c>
      <c r="B768" s="11" t="n">
        <v>46154</v>
      </c>
      <c r="C768" s="10" t="s">
        <v>32</v>
      </c>
      <c r="D768" s="10" t="s">
        <v>29</v>
      </c>
      <c r="E768" s="10" t="s">
        <v>30</v>
      </c>
      <c r="F768" s="10" t="s">
        <v>34</v>
      </c>
      <c r="G768" s="10" t="n">
        <v>4</v>
      </c>
      <c r="H768" s="12" t="n">
        <v>520</v>
      </c>
      <c r="I768" s="12" t="n">
        <v>300</v>
      </c>
      <c r="J768" s="13" t="n">
        <f aca="false">G768*H768</f>
        <v>2080</v>
      </c>
      <c r="K768" s="13" t="n">
        <f aca="false">J768-G768*I768</f>
        <v>880</v>
      </c>
    </row>
    <row r="769" customFormat="false" ht="15" hidden="false" customHeight="false" outlineLevel="0" collapsed="false">
      <c r="A769" s="10" t="s">
        <v>812</v>
      </c>
      <c r="B769" s="11" t="n">
        <v>46154</v>
      </c>
      <c r="C769" s="10" t="s">
        <v>41</v>
      </c>
      <c r="D769" s="10" t="s">
        <v>42</v>
      </c>
      <c r="E769" s="10" t="s">
        <v>57</v>
      </c>
      <c r="F769" s="10" t="s">
        <v>26</v>
      </c>
      <c r="G769" s="10" t="n">
        <v>4</v>
      </c>
      <c r="H769" s="12" t="n">
        <v>45</v>
      </c>
      <c r="I769" s="12" t="n">
        <v>20</v>
      </c>
      <c r="J769" s="13" t="n">
        <f aca="false">G769*H769</f>
        <v>180</v>
      </c>
      <c r="K769" s="13" t="n">
        <f aca="false">J769-G769*I769</f>
        <v>100</v>
      </c>
    </row>
    <row r="770" customFormat="false" ht="15" hidden="false" customHeight="false" outlineLevel="0" collapsed="false">
      <c r="A770" s="10" t="s">
        <v>813</v>
      </c>
      <c r="B770" s="11" t="n">
        <v>46154</v>
      </c>
      <c r="C770" s="10" t="s">
        <v>51</v>
      </c>
      <c r="D770" s="10" t="s">
        <v>42</v>
      </c>
      <c r="E770" s="10" t="s">
        <v>30</v>
      </c>
      <c r="F770" s="10" t="s">
        <v>26</v>
      </c>
      <c r="G770" s="10" t="n">
        <v>1</v>
      </c>
      <c r="H770" s="12" t="n">
        <v>130</v>
      </c>
      <c r="I770" s="12" t="n">
        <v>60</v>
      </c>
      <c r="J770" s="13" t="n">
        <f aca="false">G770*H770</f>
        <v>130</v>
      </c>
      <c r="K770" s="13" t="n">
        <f aca="false">J770-G770*I770</f>
        <v>70</v>
      </c>
    </row>
    <row r="771" customFormat="false" ht="15" hidden="false" customHeight="false" outlineLevel="0" collapsed="false">
      <c r="A771" s="10" t="s">
        <v>814</v>
      </c>
      <c r="B771" s="11" t="n">
        <v>46157</v>
      </c>
      <c r="C771" s="10" t="s">
        <v>23</v>
      </c>
      <c r="D771" s="10" t="s">
        <v>24</v>
      </c>
      <c r="E771" s="10" t="s">
        <v>33</v>
      </c>
      <c r="F771" s="10" t="s">
        <v>34</v>
      </c>
      <c r="G771" s="10" t="n">
        <v>2</v>
      </c>
      <c r="H771" s="12" t="n">
        <v>260</v>
      </c>
      <c r="I771" s="12" t="n">
        <v>180</v>
      </c>
      <c r="J771" s="13" t="n">
        <f aca="false">G771*H771</f>
        <v>520</v>
      </c>
      <c r="K771" s="13" t="n">
        <f aca="false">J771-G771*I771</f>
        <v>160</v>
      </c>
    </row>
    <row r="772" customFormat="false" ht="15" hidden="false" customHeight="false" outlineLevel="0" collapsed="false">
      <c r="A772" s="10" t="s">
        <v>815</v>
      </c>
      <c r="B772" s="11" t="n">
        <v>46159</v>
      </c>
      <c r="C772" s="10" t="s">
        <v>51</v>
      </c>
      <c r="D772" s="10" t="s">
        <v>42</v>
      </c>
      <c r="E772" s="10" t="s">
        <v>57</v>
      </c>
      <c r="F772" s="10" t="s">
        <v>26</v>
      </c>
      <c r="G772" s="10" t="n">
        <v>1</v>
      </c>
      <c r="H772" s="12" t="n">
        <v>130</v>
      </c>
      <c r="I772" s="12" t="n">
        <v>60</v>
      </c>
      <c r="J772" s="13" t="n">
        <f aca="false">G772*H772</f>
        <v>130</v>
      </c>
      <c r="K772" s="13" t="n">
        <f aca="false">J772-G772*I772</f>
        <v>70</v>
      </c>
    </row>
    <row r="773" customFormat="false" ht="15" hidden="false" customHeight="false" outlineLevel="0" collapsed="false">
      <c r="A773" s="10" t="s">
        <v>816</v>
      </c>
      <c r="B773" s="11" t="n">
        <v>46159</v>
      </c>
      <c r="C773" s="10" t="s">
        <v>36</v>
      </c>
      <c r="D773" s="10" t="s">
        <v>29</v>
      </c>
      <c r="E773" s="10" t="s">
        <v>33</v>
      </c>
      <c r="F773" s="10" t="s">
        <v>26</v>
      </c>
      <c r="G773" s="10" t="n">
        <v>1</v>
      </c>
      <c r="H773" s="12" t="n">
        <v>380</v>
      </c>
      <c r="I773" s="12" t="n">
        <v>260</v>
      </c>
      <c r="J773" s="13" t="n">
        <f aca="false">G773*H773</f>
        <v>380</v>
      </c>
      <c r="K773" s="13" t="n">
        <f aca="false">J773-G773*I773</f>
        <v>120</v>
      </c>
    </row>
    <row r="774" customFormat="false" ht="15" hidden="false" customHeight="false" outlineLevel="0" collapsed="false">
      <c r="A774" s="10" t="s">
        <v>817</v>
      </c>
      <c r="B774" s="11" t="n">
        <v>46163</v>
      </c>
      <c r="C774" s="10" t="s">
        <v>28</v>
      </c>
      <c r="D774" s="10" t="s">
        <v>29</v>
      </c>
      <c r="E774" s="10" t="s">
        <v>33</v>
      </c>
      <c r="F774" s="10" t="s">
        <v>26</v>
      </c>
      <c r="G774" s="10" t="n">
        <v>1</v>
      </c>
      <c r="H774" s="12" t="n">
        <v>450</v>
      </c>
      <c r="I774" s="12" t="n">
        <v>280</v>
      </c>
      <c r="J774" s="13" t="n">
        <f aca="false">G774*H774</f>
        <v>450</v>
      </c>
      <c r="K774" s="13" t="n">
        <f aca="false">J774-G774*I774</f>
        <v>170</v>
      </c>
    </row>
    <row r="775" customFormat="false" ht="15" hidden="false" customHeight="false" outlineLevel="0" collapsed="false">
      <c r="A775" s="10" t="s">
        <v>818</v>
      </c>
      <c r="B775" s="11" t="n">
        <v>46164</v>
      </c>
      <c r="C775" s="10" t="s">
        <v>41</v>
      </c>
      <c r="D775" s="10" t="s">
        <v>42</v>
      </c>
      <c r="E775" s="10" t="s">
        <v>25</v>
      </c>
      <c r="F775" s="10" t="s">
        <v>34</v>
      </c>
      <c r="G775" s="10" t="n">
        <v>2</v>
      </c>
      <c r="H775" s="12" t="n">
        <v>45</v>
      </c>
      <c r="I775" s="12" t="n">
        <v>20</v>
      </c>
      <c r="J775" s="13" t="n">
        <f aca="false">G775*H775</f>
        <v>90</v>
      </c>
      <c r="K775" s="13" t="n">
        <f aca="false">J775-G775*I775</f>
        <v>50</v>
      </c>
    </row>
    <row r="776" customFormat="false" ht="15" hidden="false" customHeight="false" outlineLevel="0" collapsed="false">
      <c r="A776" s="10" t="s">
        <v>819</v>
      </c>
      <c r="B776" s="11" t="n">
        <v>46165</v>
      </c>
      <c r="C776" s="10" t="s">
        <v>49</v>
      </c>
      <c r="D776" s="10" t="s">
        <v>24</v>
      </c>
      <c r="E776" s="10" t="s">
        <v>38</v>
      </c>
      <c r="F776" s="10" t="s">
        <v>26</v>
      </c>
      <c r="G776" s="10" t="n">
        <v>3</v>
      </c>
      <c r="H776" s="12" t="n">
        <v>250</v>
      </c>
      <c r="I776" s="12" t="n">
        <v>170</v>
      </c>
      <c r="J776" s="13" t="n">
        <f aca="false">G776*H776</f>
        <v>750</v>
      </c>
      <c r="K776" s="13" t="n">
        <f aca="false">J776-G776*I776</f>
        <v>240</v>
      </c>
    </row>
    <row r="777" customFormat="false" ht="15" hidden="false" customHeight="false" outlineLevel="0" collapsed="false">
      <c r="A777" s="10" t="s">
        <v>820</v>
      </c>
      <c r="B777" s="11" t="n">
        <v>46166</v>
      </c>
      <c r="C777" s="10" t="s">
        <v>28</v>
      </c>
      <c r="D777" s="10" t="s">
        <v>29</v>
      </c>
      <c r="E777" s="10" t="s">
        <v>30</v>
      </c>
      <c r="F777" s="10" t="s">
        <v>34</v>
      </c>
      <c r="G777" s="10" t="n">
        <v>4</v>
      </c>
      <c r="H777" s="12" t="n">
        <v>450</v>
      </c>
      <c r="I777" s="12" t="n">
        <v>280</v>
      </c>
      <c r="J777" s="13" t="n">
        <f aca="false">G777*H777</f>
        <v>1800</v>
      </c>
      <c r="K777" s="13" t="n">
        <f aca="false">J777-G777*I777</f>
        <v>680</v>
      </c>
    </row>
    <row r="778" customFormat="false" ht="15" hidden="false" customHeight="false" outlineLevel="0" collapsed="false">
      <c r="A778" s="10" t="s">
        <v>821</v>
      </c>
      <c r="B778" s="11" t="n">
        <v>46166</v>
      </c>
      <c r="C778" s="10" t="s">
        <v>51</v>
      </c>
      <c r="D778" s="10" t="s">
        <v>42</v>
      </c>
      <c r="E778" s="10" t="s">
        <v>38</v>
      </c>
      <c r="F778" s="10" t="s">
        <v>26</v>
      </c>
      <c r="G778" s="10" t="n">
        <v>1</v>
      </c>
      <c r="H778" s="12" t="n">
        <v>130</v>
      </c>
      <c r="I778" s="12" t="n">
        <v>60</v>
      </c>
      <c r="J778" s="13" t="n">
        <f aca="false">G778*H778</f>
        <v>130</v>
      </c>
      <c r="K778" s="13" t="n">
        <f aca="false">J778-G778*I778</f>
        <v>70</v>
      </c>
    </row>
    <row r="779" customFormat="false" ht="15" hidden="false" customHeight="false" outlineLevel="0" collapsed="false">
      <c r="A779" s="10" t="s">
        <v>822</v>
      </c>
      <c r="B779" s="11" t="n">
        <v>46170</v>
      </c>
      <c r="C779" s="10" t="s">
        <v>23</v>
      </c>
      <c r="D779" s="10" t="s">
        <v>24</v>
      </c>
      <c r="E779" s="10" t="s">
        <v>57</v>
      </c>
      <c r="F779" s="10" t="s">
        <v>34</v>
      </c>
      <c r="G779" s="10" t="n">
        <v>1</v>
      </c>
      <c r="H779" s="12" t="n">
        <v>260</v>
      </c>
      <c r="I779" s="12" t="n">
        <v>180</v>
      </c>
      <c r="J779" s="13" t="n">
        <f aca="false">G779*H779</f>
        <v>260</v>
      </c>
      <c r="K779" s="13" t="n">
        <f aca="false">J779-G779*I779</f>
        <v>80</v>
      </c>
    </row>
    <row r="780" customFormat="false" ht="15" hidden="false" customHeight="false" outlineLevel="0" collapsed="false">
      <c r="A780" s="10" t="s">
        <v>823</v>
      </c>
      <c r="B780" s="11" t="n">
        <v>46170</v>
      </c>
      <c r="C780" s="10" t="s">
        <v>51</v>
      </c>
      <c r="D780" s="10" t="s">
        <v>42</v>
      </c>
      <c r="E780" s="10" t="s">
        <v>38</v>
      </c>
      <c r="F780" s="10" t="s">
        <v>26</v>
      </c>
      <c r="G780" s="10" t="n">
        <v>1</v>
      </c>
      <c r="H780" s="12" t="n">
        <v>130</v>
      </c>
      <c r="I780" s="12" t="n">
        <v>60</v>
      </c>
      <c r="J780" s="13" t="n">
        <f aca="false">G780*H780</f>
        <v>130</v>
      </c>
      <c r="K780" s="13" t="n">
        <f aca="false">J780-G780*I780</f>
        <v>70</v>
      </c>
    </row>
    <row r="781" customFormat="false" ht="15" hidden="false" customHeight="false" outlineLevel="0" collapsed="false">
      <c r="A781" s="10" t="s">
        <v>824</v>
      </c>
      <c r="B781" s="11" t="n">
        <v>46172</v>
      </c>
      <c r="C781" s="10" t="s">
        <v>32</v>
      </c>
      <c r="D781" s="10" t="s">
        <v>29</v>
      </c>
      <c r="E781" s="10" t="s">
        <v>30</v>
      </c>
      <c r="F781" s="10" t="s">
        <v>34</v>
      </c>
      <c r="G781" s="10" t="n">
        <v>3</v>
      </c>
      <c r="H781" s="12" t="n">
        <v>520</v>
      </c>
      <c r="I781" s="12" t="n">
        <v>300</v>
      </c>
      <c r="J781" s="13" t="n">
        <f aca="false">G781*H781</f>
        <v>1560</v>
      </c>
      <c r="K781" s="13" t="n">
        <f aca="false">J781-G781*I781</f>
        <v>660</v>
      </c>
    </row>
    <row r="782" customFormat="false" ht="15" hidden="false" customHeight="false" outlineLevel="0" collapsed="false">
      <c r="A782" s="10" t="s">
        <v>825</v>
      </c>
      <c r="B782" s="11" t="n">
        <v>46174</v>
      </c>
      <c r="C782" s="10" t="s">
        <v>49</v>
      </c>
      <c r="D782" s="10" t="s">
        <v>24</v>
      </c>
      <c r="E782" s="10" t="s">
        <v>33</v>
      </c>
      <c r="F782" s="10" t="s">
        <v>34</v>
      </c>
      <c r="G782" s="10" t="n">
        <v>1</v>
      </c>
      <c r="H782" s="12" t="n">
        <v>250</v>
      </c>
      <c r="I782" s="12" t="n">
        <v>170</v>
      </c>
      <c r="J782" s="13" t="n">
        <f aca="false">G782*H782</f>
        <v>250</v>
      </c>
      <c r="K782" s="13" t="n">
        <f aca="false">J782-G782*I782</f>
        <v>80</v>
      </c>
    </row>
    <row r="783" customFormat="false" ht="15" hidden="false" customHeight="false" outlineLevel="0" collapsed="false">
      <c r="A783" s="10" t="s">
        <v>826</v>
      </c>
      <c r="B783" s="11" t="n">
        <v>46176</v>
      </c>
      <c r="C783" s="10" t="s">
        <v>28</v>
      </c>
      <c r="D783" s="10" t="s">
        <v>29</v>
      </c>
      <c r="E783" s="10" t="s">
        <v>30</v>
      </c>
      <c r="F783" s="10" t="s">
        <v>34</v>
      </c>
      <c r="G783" s="10" t="n">
        <v>4</v>
      </c>
      <c r="H783" s="12" t="n">
        <v>450</v>
      </c>
      <c r="I783" s="12" t="n">
        <v>280</v>
      </c>
      <c r="J783" s="13" t="n">
        <f aca="false">G783*H783</f>
        <v>1800</v>
      </c>
      <c r="K783" s="13" t="n">
        <f aca="false">J783-G783*I783</f>
        <v>680</v>
      </c>
    </row>
    <row r="784" customFormat="false" ht="15" hidden="false" customHeight="false" outlineLevel="0" collapsed="false">
      <c r="A784" s="10" t="s">
        <v>827</v>
      </c>
      <c r="B784" s="11" t="n">
        <v>46176</v>
      </c>
      <c r="C784" s="10" t="s">
        <v>32</v>
      </c>
      <c r="D784" s="10" t="s">
        <v>29</v>
      </c>
      <c r="E784" s="10" t="s">
        <v>33</v>
      </c>
      <c r="F784" s="10" t="s">
        <v>26</v>
      </c>
      <c r="G784" s="10" t="n">
        <v>3</v>
      </c>
      <c r="H784" s="12" t="n">
        <v>520</v>
      </c>
      <c r="I784" s="12" t="n">
        <v>300</v>
      </c>
      <c r="J784" s="13" t="n">
        <f aca="false">G784*H784</f>
        <v>1560</v>
      </c>
      <c r="K784" s="13" t="n">
        <f aca="false">J784-G784*I784</f>
        <v>660</v>
      </c>
    </row>
    <row r="785" customFormat="false" ht="15" hidden="false" customHeight="false" outlineLevel="0" collapsed="false">
      <c r="A785" s="10" t="s">
        <v>828</v>
      </c>
      <c r="B785" s="11" t="n">
        <v>46178</v>
      </c>
      <c r="C785" s="10" t="s">
        <v>51</v>
      </c>
      <c r="D785" s="10" t="s">
        <v>42</v>
      </c>
      <c r="E785" s="10" t="s">
        <v>33</v>
      </c>
      <c r="F785" s="10" t="s">
        <v>34</v>
      </c>
      <c r="G785" s="10" t="n">
        <v>3</v>
      </c>
      <c r="H785" s="12" t="n">
        <v>130</v>
      </c>
      <c r="I785" s="12" t="n">
        <v>60</v>
      </c>
      <c r="J785" s="13" t="n">
        <f aca="false">G785*H785</f>
        <v>390</v>
      </c>
      <c r="K785" s="13" t="n">
        <f aca="false">J785-G785*I785</f>
        <v>210</v>
      </c>
    </row>
    <row r="786" customFormat="false" ht="15" hidden="false" customHeight="false" outlineLevel="0" collapsed="false">
      <c r="A786" s="10" t="s">
        <v>829</v>
      </c>
      <c r="B786" s="11" t="n">
        <v>46178</v>
      </c>
      <c r="C786" s="10" t="s">
        <v>23</v>
      </c>
      <c r="D786" s="10" t="s">
        <v>24</v>
      </c>
      <c r="E786" s="10" t="s">
        <v>38</v>
      </c>
      <c r="F786" s="10" t="s">
        <v>34</v>
      </c>
      <c r="G786" s="10" t="n">
        <v>4</v>
      </c>
      <c r="H786" s="12" t="n">
        <v>260</v>
      </c>
      <c r="I786" s="12" t="n">
        <v>180</v>
      </c>
      <c r="J786" s="13" t="n">
        <f aca="false">G786*H786</f>
        <v>1040</v>
      </c>
      <c r="K786" s="13" t="n">
        <f aca="false">J786-G786*I786</f>
        <v>320</v>
      </c>
    </row>
    <row r="787" customFormat="false" ht="15" hidden="false" customHeight="false" outlineLevel="0" collapsed="false">
      <c r="A787" s="10" t="s">
        <v>830</v>
      </c>
      <c r="B787" s="11" t="n">
        <v>46180</v>
      </c>
      <c r="C787" s="10" t="s">
        <v>32</v>
      </c>
      <c r="D787" s="10" t="s">
        <v>29</v>
      </c>
      <c r="E787" s="10" t="s">
        <v>30</v>
      </c>
      <c r="F787" s="10" t="s">
        <v>34</v>
      </c>
      <c r="G787" s="10" t="n">
        <v>4</v>
      </c>
      <c r="H787" s="12" t="n">
        <v>520</v>
      </c>
      <c r="I787" s="12" t="n">
        <v>300</v>
      </c>
      <c r="J787" s="13" t="n">
        <f aca="false">G787*H787</f>
        <v>2080</v>
      </c>
      <c r="K787" s="13" t="n">
        <f aca="false">J787-G787*I787</f>
        <v>880</v>
      </c>
    </row>
    <row r="788" customFormat="false" ht="15" hidden="false" customHeight="false" outlineLevel="0" collapsed="false">
      <c r="A788" s="10" t="s">
        <v>831</v>
      </c>
      <c r="B788" s="11" t="n">
        <v>46182</v>
      </c>
      <c r="C788" s="10" t="s">
        <v>28</v>
      </c>
      <c r="D788" s="10" t="s">
        <v>29</v>
      </c>
      <c r="E788" s="10" t="s">
        <v>38</v>
      </c>
      <c r="F788" s="10" t="s">
        <v>34</v>
      </c>
      <c r="G788" s="10" t="n">
        <v>3</v>
      </c>
      <c r="H788" s="12" t="n">
        <v>450</v>
      </c>
      <c r="I788" s="12" t="n">
        <v>280</v>
      </c>
      <c r="J788" s="13" t="n">
        <f aca="false">G788*H788</f>
        <v>1350</v>
      </c>
      <c r="K788" s="13" t="n">
        <f aca="false">J788-G788*I788</f>
        <v>510</v>
      </c>
    </row>
    <row r="789" customFormat="false" ht="15" hidden="false" customHeight="false" outlineLevel="0" collapsed="false">
      <c r="A789" s="10" t="s">
        <v>832</v>
      </c>
      <c r="B789" s="11" t="n">
        <v>46183</v>
      </c>
      <c r="C789" s="10" t="s">
        <v>55</v>
      </c>
      <c r="D789" s="10" t="s">
        <v>24</v>
      </c>
      <c r="E789" s="10" t="s">
        <v>38</v>
      </c>
      <c r="F789" s="10" t="s">
        <v>26</v>
      </c>
      <c r="G789" s="10" t="n">
        <v>3</v>
      </c>
      <c r="H789" s="12" t="n">
        <v>280</v>
      </c>
      <c r="I789" s="12" t="n">
        <v>190</v>
      </c>
      <c r="J789" s="13" t="n">
        <f aca="false">G789*H789</f>
        <v>840</v>
      </c>
      <c r="K789" s="13" t="n">
        <f aca="false">J789-G789*I789</f>
        <v>270</v>
      </c>
    </row>
    <row r="790" customFormat="false" ht="15" hidden="false" customHeight="false" outlineLevel="0" collapsed="false">
      <c r="A790" s="10" t="s">
        <v>833</v>
      </c>
      <c r="B790" s="11" t="n">
        <v>46185</v>
      </c>
      <c r="C790" s="10" t="s">
        <v>32</v>
      </c>
      <c r="D790" s="10" t="s">
        <v>29</v>
      </c>
      <c r="E790" s="10" t="s">
        <v>30</v>
      </c>
      <c r="F790" s="10" t="s">
        <v>26</v>
      </c>
      <c r="G790" s="10" t="n">
        <v>4</v>
      </c>
      <c r="H790" s="12" t="n">
        <v>520</v>
      </c>
      <c r="I790" s="12" t="n">
        <v>300</v>
      </c>
      <c r="J790" s="13" t="n">
        <f aca="false">G790*H790</f>
        <v>2080</v>
      </c>
      <c r="K790" s="13" t="n">
        <f aca="false">J790-G790*I790</f>
        <v>880</v>
      </c>
    </row>
    <row r="791" customFormat="false" ht="15" hidden="false" customHeight="false" outlineLevel="0" collapsed="false">
      <c r="A791" s="10" t="s">
        <v>834</v>
      </c>
      <c r="B791" s="11" t="n">
        <v>46187</v>
      </c>
      <c r="C791" s="10" t="s">
        <v>36</v>
      </c>
      <c r="D791" s="10" t="s">
        <v>29</v>
      </c>
      <c r="E791" s="10" t="s">
        <v>30</v>
      </c>
      <c r="F791" s="10" t="s">
        <v>26</v>
      </c>
      <c r="G791" s="10" t="n">
        <v>4</v>
      </c>
      <c r="H791" s="12" t="n">
        <v>380</v>
      </c>
      <c r="I791" s="12" t="n">
        <v>260</v>
      </c>
      <c r="J791" s="13" t="n">
        <f aca="false">G791*H791</f>
        <v>1520</v>
      </c>
      <c r="K791" s="13" t="n">
        <f aca="false">J791-G791*I791</f>
        <v>480</v>
      </c>
    </row>
    <row r="792" customFormat="false" ht="15" hidden="false" customHeight="false" outlineLevel="0" collapsed="false">
      <c r="A792" s="10" t="s">
        <v>835</v>
      </c>
      <c r="B792" s="11" t="n">
        <v>46188</v>
      </c>
      <c r="C792" s="10" t="s">
        <v>36</v>
      </c>
      <c r="D792" s="10" t="s">
        <v>29</v>
      </c>
      <c r="E792" s="10" t="s">
        <v>30</v>
      </c>
      <c r="F792" s="10" t="s">
        <v>26</v>
      </c>
      <c r="G792" s="10" t="n">
        <v>2</v>
      </c>
      <c r="H792" s="12" t="n">
        <v>380</v>
      </c>
      <c r="I792" s="12" t="n">
        <v>260</v>
      </c>
      <c r="J792" s="13" t="n">
        <f aca="false">G792*H792</f>
        <v>760</v>
      </c>
      <c r="K792" s="13" t="n">
        <f aca="false">J792-G792*I792</f>
        <v>240</v>
      </c>
    </row>
    <row r="793" customFormat="false" ht="15" hidden="false" customHeight="false" outlineLevel="0" collapsed="false">
      <c r="A793" s="10" t="s">
        <v>836</v>
      </c>
      <c r="B793" s="11" t="n">
        <v>46189</v>
      </c>
      <c r="C793" s="10" t="s">
        <v>53</v>
      </c>
      <c r="D793" s="10" t="s">
        <v>24</v>
      </c>
      <c r="E793" s="10" t="s">
        <v>57</v>
      </c>
      <c r="F793" s="10" t="s">
        <v>26</v>
      </c>
      <c r="G793" s="10" t="n">
        <v>3</v>
      </c>
      <c r="H793" s="12" t="n">
        <v>300</v>
      </c>
      <c r="I793" s="12" t="n">
        <v>200</v>
      </c>
      <c r="J793" s="13" t="n">
        <f aca="false">G793*H793</f>
        <v>900</v>
      </c>
      <c r="K793" s="13" t="n">
        <f aca="false">J793-G793*I793</f>
        <v>300</v>
      </c>
    </row>
    <row r="794" customFormat="false" ht="15" hidden="false" customHeight="false" outlineLevel="0" collapsed="false">
      <c r="A794" s="10" t="s">
        <v>837</v>
      </c>
      <c r="B794" s="11" t="n">
        <v>46190</v>
      </c>
      <c r="C794" s="10" t="s">
        <v>28</v>
      </c>
      <c r="D794" s="10" t="s">
        <v>29</v>
      </c>
      <c r="E794" s="10" t="s">
        <v>38</v>
      </c>
      <c r="F794" s="10" t="s">
        <v>34</v>
      </c>
      <c r="G794" s="10" t="n">
        <v>3</v>
      </c>
      <c r="H794" s="12" t="n">
        <v>450</v>
      </c>
      <c r="I794" s="12" t="n">
        <v>280</v>
      </c>
      <c r="J794" s="13" t="n">
        <f aca="false">G794*H794</f>
        <v>1350</v>
      </c>
      <c r="K794" s="13" t="n">
        <f aca="false">J794-G794*I794</f>
        <v>510</v>
      </c>
    </row>
    <row r="795" customFormat="false" ht="15" hidden="false" customHeight="false" outlineLevel="0" collapsed="false">
      <c r="A795" s="10" t="s">
        <v>838</v>
      </c>
      <c r="B795" s="11" t="n">
        <v>46190</v>
      </c>
      <c r="C795" s="10" t="s">
        <v>101</v>
      </c>
      <c r="D795" s="10" t="s">
        <v>68</v>
      </c>
      <c r="E795" s="10" t="s">
        <v>38</v>
      </c>
      <c r="F795" s="10" t="s">
        <v>34</v>
      </c>
      <c r="G795" s="10" t="n">
        <v>1</v>
      </c>
      <c r="H795" s="12" t="n">
        <v>4200</v>
      </c>
      <c r="I795" s="12" t="n">
        <v>3300</v>
      </c>
      <c r="J795" s="13" t="n">
        <f aca="false">G795*H795</f>
        <v>4200</v>
      </c>
      <c r="K795" s="13" t="n">
        <f aca="false">J795-G795*I795</f>
        <v>900</v>
      </c>
    </row>
    <row r="796" customFormat="false" ht="15" hidden="false" customHeight="false" outlineLevel="0" collapsed="false">
      <c r="A796" s="10" t="s">
        <v>839</v>
      </c>
      <c r="B796" s="11" t="n">
        <v>46190</v>
      </c>
      <c r="C796" s="10" t="s">
        <v>23</v>
      </c>
      <c r="D796" s="10" t="s">
        <v>24</v>
      </c>
      <c r="E796" s="10" t="s">
        <v>30</v>
      </c>
      <c r="F796" s="10" t="s">
        <v>26</v>
      </c>
      <c r="G796" s="10" t="n">
        <v>4</v>
      </c>
      <c r="H796" s="12" t="n">
        <v>260</v>
      </c>
      <c r="I796" s="12" t="n">
        <v>180</v>
      </c>
      <c r="J796" s="13" t="n">
        <f aca="false">G796*H796</f>
        <v>1040</v>
      </c>
      <c r="K796" s="13" t="n">
        <f aca="false">J796-G796*I796</f>
        <v>320</v>
      </c>
    </row>
    <row r="797" customFormat="false" ht="15" hidden="false" customHeight="false" outlineLevel="0" collapsed="false">
      <c r="A797" s="10" t="s">
        <v>840</v>
      </c>
      <c r="B797" s="11" t="n">
        <v>46193</v>
      </c>
      <c r="C797" s="10" t="s">
        <v>51</v>
      </c>
      <c r="D797" s="10" t="s">
        <v>42</v>
      </c>
      <c r="E797" s="10" t="s">
        <v>33</v>
      </c>
      <c r="F797" s="10" t="s">
        <v>34</v>
      </c>
      <c r="G797" s="10" t="n">
        <v>2</v>
      </c>
      <c r="H797" s="12" t="n">
        <v>130</v>
      </c>
      <c r="I797" s="12" t="n">
        <v>60</v>
      </c>
      <c r="J797" s="13" t="n">
        <f aca="false">G797*H797</f>
        <v>260</v>
      </c>
      <c r="K797" s="13" t="n">
        <f aca="false">J797-G797*I797</f>
        <v>140</v>
      </c>
    </row>
    <row r="798" customFormat="false" ht="15" hidden="false" customHeight="false" outlineLevel="0" collapsed="false">
      <c r="A798" s="10" t="s">
        <v>841</v>
      </c>
      <c r="B798" s="11" t="n">
        <v>46196</v>
      </c>
      <c r="C798" s="10" t="s">
        <v>32</v>
      </c>
      <c r="D798" s="10" t="s">
        <v>29</v>
      </c>
      <c r="E798" s="10" t="s">
        <v>30</v>
      </c>
      <c r="F798" s="10" t="s">
        <v>26</v>
      </c>
      <c r="G798" s="10" t="n">
        <v>4</v>
      </c>
      <c r="H798" s="12" t="n">
        <v>520</v>
      </c>
      <c r="I798" s="12" t="n">
        <v>300</v>
      </c>
      <c r="J798" s="13" t="n">
        <f aca="false">G798*H798</f>
        <v>2080</v>
      </c>
      <c r="K798" s="13" t="n">
        <f aca="false">J798-G798*I798</f>
        <v>880</v>
      </c>
    </row>
    <row r="799" customFormat="false" ht="15" hidden="false" customHeight="false" outlineLevel="0" collapsed="false">
      <c r="A799" s="10" t="s">
        <v>842</v>
      </c>
      <c r="B799" s="11" t="n">
        <v>46197</v>
      </c>
      <c r="C799" s="10" t="s">
        <v>67</v>
      </c>
      <c r="D799" s="10" t="s">
        <v>68</v>
      </c>
      <c r="E799" s="10" t="s">
        <v>25</v>
      </c>
      <c r="F799" s="10" t="s">
        <v>26</v>
      </c>
      <c r="G799" s="10" t="n">
        <v>2</v>
      </c>
      <c r="H799" s="12" t="n">
        <v>2600</v>
      </c>
      <c r="I799" s="12" t="n">
        <v>2100</v>
      </c>
      <c r="J799" s="13" t="n">
        <f aca="false">G799*H799</f>
        <v>5200</v>
      </c>
      <c r="K799" s="13" t="n">
        <f aca="false">J799-G799*I799</f>
        <v>1000</v>
      </c>
    </row>
    <row r="800" customFormat="false" ht="15" hidden="false" customHeight="false" outlineLevel="0" collapsed="false">
      <c r="A800" s="10" t="s">
        <v>843</v>
      </c>
      <c r="B800" s="11" t="n">
        <v>46198</v>
      </c>
      <c r="C800" s="10" t="s">
        <v>32</v>
      </c>
      <c r="D800" s="10" t="s">
        <v>29</v>
      </c>
      <c r="E800" s="10" t="s">
        <v>38</v>
      </c>
      <c r="F800" s="10" t="s">
        <v>34</v>
      </c>
      <c r="G800" s="10" t="n">
        <v>4</v>
      </c>
      <c r="H800" s="12" t="n">
        <v>520</v>
      </c>
      <c r="I800" s="12" t="n">
        <v>300</v>
      </c>
      <c r="J800" s="13" t="n">
        <f aca="false">G800*H800</f>
        <v>2080</v>
      </c>
      <c r="K800" s="13" t="n">
        <f aca="false">J800-G800*I800</f>
        <v>880</v>
      </c>
    </row>
    <row r="801" customFormat="false" ht="15" hidden="false" customHeight="false" outlineLevel="0" collapsed="false">
      <c r="A801" s="10" t="s">
        <v>844</v>
      </c>
      <c r="B801" s="11" t="n">
        <v>46198</v>
      </c>
      <c r="C801" s="10" t="s">
        <v>55</v>
      </c>
      <c r="D801" s="10" t="s">
        <v>24</v>
      </c>
      <c r="E801" s="10" t="s">
        <v>25</v>
      </c>
      <c r="F801" s="10" t="s">
        <v>34</v>
      </c>
      <c r="G801" s="10" t="n">
        <v>1</v>
      </c>
      <c r="H801" s="12" t="n">
        <v>280</v>
      </c>
      <c r="I801" s="12" t="n">
        <v>190</v>
      </c>
      <c r="J801" s="13" t="n">
        <f aca="false">G801*H801</f>
        <v>280</v>
      </c>
      <c r="K801" s="13" t="n">
        <f aca="false">J801-G801*I801</f>
        <v>90</v>
      </c>
    </row>
    <row r="802" customFormat="false" ht="15" hidden="false" customHeight="false" outlineLevel="0" collapsed="false">
      <c r="A802" s="10" t="s">
        <v>845</v>
      </c>
      <c r="B802" s="11" t="n">
        <v>46199</v>
      </c>
      <c r="C802" s="10" t="s">
        <v>23</v>
      </c>
      <c r="D802" s="10" t="s">
        <v>24</v>
      </c>
      <c r="E802" s="10" t="s">
        <v>38</v>
      </c>
      <c r="F802" s="10" t="s">
        <v>26</v>
      </c>
      <c r="G802" s="10" t="n">
        <v>2</v>
      </c>
      <c r="H802" s="12" t="n">
        <v>260</v>
      </c>
      <c r="I802" s="12" t="n">
        <v>180</v>
      </c>
      <c r="J802" s="13" t="n">
        <f aca="false">G802*H802</f>
        <v>520</v>
      </c>
      <c r="K802" s="13" t="n">
        <f aca="false">J802-G802*I802</f>
        <v>160</v>
      </c>
    </row>
    <row r="803" customFormat="false" ht="15" hidden="false" customHeight="false" outlineLevel="0" collapsed="false">
      <c r="A803" s="10" t="s">
        <v>846</v>
      </c>
      <c r="B803" s="11" t="n">
        <v>46203</v>
      </c>
      <c r="C803" s="10" t="s">
        <v>55</v>
      </c>
      <c r="D803" s="10" t="s">
        <v>24</v>
      </c>
      <c r="E803" s="10" t="s">
        <v>57</v>
      </c>
      <c r="F803" s="10" t="s">
        <v>26</v>
      </c>
      <c r="G803" s="10" t="n">
        <v>2</v>
      </c>
      <c r="H803" s="12" t="n">
        <v>280</v>
      </c>
      <c r="I803" s="12" t="n">
        <v>190</v>
      </c>
      <c r="J803" s="13" t="n">
        <f aca="false">G803*H803</f>
        <v>560</v>
      </c>
      <c r="K803" s="13" t="n">
        <f aca="false">J803-G803*I803</f>
        <v>180</v>
      </c>
    </row>
    <row r="804" customFormat="false" ht="15" hidden="false" customHeight="false" outlineLevel="0" collapsed="false">
      <c r="A804" s="10" t="s">
        <v>847</v>
      </c>
      <c r="B804" s="11" t="n">
        <v>46203</v>
      </c>
      <c r="C804" s="10" t="s">
        <v>84</v>
      </c>
      <c r="D804" s="10" t="s">
        <v>42</v>
      </c>
      <c r="E804" s="10" t="s">
        <v>38</v>
      </c>
      <c r="F804" s="10" t="s">
        <v>26</v>
      </c>
      <c r="G804" s="10" t="n">
        <v>4</v>
      </c>
      <c r="H804" s="12" t="n">
        <v>480</v>
      </c>
      <c r="I804" s="12" t="n">
        <v>220</v>
      </c>
      <c r="J804" s="13" t="n">
        <f aca="false">G804*H804</f>
        <v>1920</v>
      </c>
      <c r="K804" s="13" t="n">
        <f aca="false">J804-G804*I804</f>
        <v>1040</v>
      </c>
    </row>
    <row r="805" customFormat="false" ht="15" hidden="false" customHeight="false" outlineLevel="0" collapsed="false">
      <c r="A805" s="10" t="s">
        <v>848</v>
      </c>
      <c r="B805" s="11" t="n">
        <v>46205</v>
      </c>
      <c r="C805" s="10" t="s">
        <v>53</v>
      </c>
      <c r="D805" s="10" t="s">
        <v>24</v>
      </c>
      <c r="E805" s="10" t="s">
        <v>38</v>
      </c>
      <c r="F805" s="10" t="s">
        <v>34</v>
      </c>
      <c r="G805" s="10" t="n">
        <v>3</v>
      </c>
      <c r="H805" s="12" t="n">
        <v>300</v>
      </c>
      <c r="I805" s="12" t="n">
        <v>200</v>
      </c>
      <c r="J805" s="13" t="n">
        <f aca="false">G805*H805</f>
        <v>900</v>
      </c>
      <c r="K805" s="13" t="n">
        <f aca="false">J805-G805*I805</f>
        <v>300</v>
      </c>
    </row>
    <row r="806" customFormat="false" ht="15" hidden="false" customHeight="false" outlineLevel="0" collapsed="false">
      <c r="A806" s="10" t="s">
        <v>849</v>
      </c>
      <c r="B806" s="11" t="n">
        <v>46205</v>
      </c>
      <c r="C806" s="10" t="s">
        <v>49</v>
      </c>
      <c r="D806" s="10" t="s">
        <v>24</v>
      </c>
      <c r="E806" s="10" t="s">
        <v>30</v>
      </c>
      <c r="F806" s="10" t="s">
        <v>26</v>
      </c>
      <c r="G806" s="10" t="n">
        <v>1</v>
      </c>
      <c r="H806" s="12" t="n">
        <v>250</v>
      </c>
      <c r="I806" s="12" t="n">
        <v>170</v>
      </c>
      <c r="J806" s="13" t="n">
        <f aca="false">G806*H806</f>
        <v>250</v>
      </c>
      <c r="K806" s="13" t="n">
        <f aca="false">J806-G806*I806</f>
        <v>80</v>
      </c>
    </row>
    <row r="807" customFormat="false" ht="15" hidden="false" customHeight="false" outlineLevel="0" collapsed="false">
      <c r="A807" s="10" t="s">
        <v>850</v>
      </c>
      <c r="B807" s="11" t="n">
        <v>46207</v>
      </c>
      <c r="C807" s="10" t="s">
        <v>28</v>
      </c>
      <c r="D807" s="10" t="s">
        <v>29</v>
      </c>
      <c r="E807" s="10" t="s">
        <v>33</v>
      </c>
      <c r="F807" s="10" t="s">
        <v>34</v>
      </c>
      <c r="G807" s="10" t="n">
        <v>4</v>
      </c>
      <c r="H807" s="12" t="n">
        <v>450</v>
      </c>
      <c r="I807" s="12" t="n">
        <v>280</v>
      </c>
      <c r="J807" s="13" t="n">
        <f aca="false">G807*H807</f>
        <v>1800</v>
      </c>
      <c r="K807" s="13" t="n">
        <f aca="false">J807-G807*I807</f>
        <v>680</v>
      </c>
    </row>
    <row r="808" customFormat="false" ht="15" hidden="false" customHeight="false" outlineLevel="0" collapsed="false">
      <c r="A808" s="10" t="s">
        <v>851</v>
      </c>
      <c r="B808" s="11" t="n">
        <v>46209</v>
      </c>
      <c r="C808" s="10" t="s">
        <v>53</v>
      </c>
      <c r="D808" s="10" t="s">
        <v>24</v>
      </c>
      <c r="E808" s="10" t="s">
        <v>30</v>
      </c>
      <c r="F808" s="10" t="s">
        <v>34</v>
      </c>
      <c r="G808" s="10" t="n">
        <v>4</v>
      </c>
      <c r="H808" s="12" t="n">
        <v>300</v>
      </c>
      <c r="I808" s="12" t="n">
        <v>200</v>
      </c>
      <c r="J808" s="13" t="n">
        <f aca="false">G808*H808</f>
        <v>1200</v>
      </c>
      <c r="K808" s="13" t="n">
        <f aca="false">J808-G808*I808</f>
        <v>400</v>
      </c>
    </row>
    <row r="809" customFormat="false" ht="15" hidden="false" customHeight="false" outlineLevel="0" collapsed="false">
      <c r="A809" s="10" t="s">
        <v>852</v>
      </c>
      <c r="B809" s="11" t="n">
        <v>46211</v>
      </c>
      <c r="C809" s="10" t="s">
        <v>41</v>
      </c>
      <c r="D809" s="10" t="s">
        <v>42</v>
      </c>
      <c r="E809" s="10" t="s">
        <v>30</v>
      </c>
      <c r="F809" s="10" t="s">
        <v>26</v>
      </c>
      <c r="G809" s="10" t="n">
        <v>2</v>
      </c>
      <c r="H809" s="12" t="n">
        <v>45</v>
      </c>
      <c r="I809" s="12" t="n">
        <v>20</v>
      </c>
      <c r="J809" s="13" t="n">
        <f aca="false">G809*H809</f>
        <v>90</v>
      </c>
      <c r="K809" s="13" t="n">
        <f aca="false">J809-G809*I809</f>
        <v>50</v>
      </c>
    </row>
    <row r="810" customFormat="false" ht="15" hidden="false" customHeight="false" outlineLevel="0" collapsed="false">
      <c r="A810" s="10" t="s">
        <v>853</v>
      </c>
      <c r="B810" s="11" t="n">
        <v>46211</v>
      </c>
      <c r="C810" s="10" t="s">
        <v>32</v>
      </c>
      <c r="D810" s="10" t="s">
        <v>29</v>
      </c>
      <c r="E810" s="10" t="s">
        <v>38</v>
      </c>
      <c r="F810" s="10" t="s">
        <v>26</v>
      </c>
      <c r="G810" s="10" t="n">
        <v>3</v>
      </c>
      <c r="H810" s="12" t="n">
        <v>520</v>
      </c>
      <c r="I810" s="12" t="n">
        <v>300</v>
      </c>
      <c r="J810" s="13" t="n">
        <f aca="false">G810*H810</f>
        <v>1560</v>
      </c>
      <c r="K810" s="13" t="n">
        <f aca="false">J810-G810*I810</f>
        <v>660</v>
      </c>
    </row>
    <row r="811" customFormat="false" ht="15" hidden="false" customHeight="false" outlineLevel="0" collapsed="false">
      <c r="A811" s="10" t="s">
        <v>854</v>
      </c>
      <c r="B811" s="11" t="n">
        <v>46211</v>
      </c>
      <c r="C811" s="10" t="s">
        <v>32</v>
      </c>
      <c r="D811" s="10" t="s">
        <v>29</v>
      </c>
      <c r="E811" s="10" t="s">
        <v>38</v>
      </c>
      <c r="F811" s="10" t="s">
        <v>26</v>
      </c>
      <c r="G811" s="10" t="n">
        <v>3</v>
      </c>
      <c r="H811" s="12" t="n">
        <v>520</v>
      </c>
      <c r="I811" s="12" t="n">
        <v>300</v>
      </c>
      <c r="J811" s="13" t="n">
        <f aca="false">G811*H811</f>
        <v>1560</v>
      </c>
      <c r="K811" s="13" t="n">
        <f aca="false">J811-G811*I811</f>
        <v>660</v>
      </c>
    </row>
    <row r="812" customFormat="false" ht="15" hidden="false" customHeight="false" outlineLevel="0" collapsed="false">
      <c r="A812" s="10" t="s">
        <v>855</v>
      </c>
      <c r="B812" s="11" t="n">
        <v>46211</v>
      </c>
      <c r="C812" s="10" t="s">
        <v>32</v>
      </c>
      <c r="D812" s="10" t="s">
        <v>29</v>
      </c>
      <c r="E812" s="10" t="s">
        <v>33</v>
      </c>
      <c r="F812" s="10" t="s">
        <v>26</v>
      </c>
      <c r="G812" s="10" t="n">
        <v>2</v>
      </c>
      <c r="H812" s="12" t="n">
        <v>520</v>
      </c>
      <c r="I812" s="12" t="n">
        <v>300</v>
      </c>
      <c r="J812" s="13" t="n">
        <f aca="false">G812*H812</f>
        <v>1040</v>
      </c>
      <c r="K812" s="13" t="n">
        <f aca="false">J812-G812*I812</f>
        <v>440</v>
      </c>
    </row>
    <row r="813" customFormat="false" ht="15" hidden="false" customHeight="false" outlineLevel="0" collapsed="false">
      <c r="A813" s="10" t="s">
        <v>856</v>
      </c>
      <c r="B813" s="11" t="n">
        <v>46213</v>
      </c>
      <c r="C813" s="10" t="s">
        <v>49</v>
      </c>
      <c r="D813" s="10" t="s">
        <v>24</v>
      </c>
      <c r="E813" s="10" t="s">
        <v>38</v>
      </c>
      <c r="F813" s="10" t="s">
        <v>26</v>
      </c>
      <c r="G813" s="10" t="n">
        <v>1</v>
      </c>
      <c r="H813" s="12" t="n">
        <v>250</v>
      </c>
      <c r="I813" s="12" t="n">
        <v>170</v>
      </c>
      <c r="J813" s="13" t="n">
        <f aca="false">G813*H813</f>
        <v>250</v>
      </c>
      <c r="K813" s="13" t="n">
        <f aca="false">J813-G813*I813</f>
        <v>80</v>
      </c>
    </row>
    <row r="814" customFormat="false" ht="15" hidden="false" customHeight="false" outlineLevel="0" collapsed="false">
      <c r="A814" s="10" t="s">
        <v>857</v>
      </c>
      <c r="B814" s="11" t="n">
        <v>46215</v>
      </c>
      <c r="C814" s="10" t="s">
        <v>36</v>
      </c>
      <c r="D814" s="10" t="s">
        <v>29</v>
      </c>
      <c r="E814" s="10" t="s">
        <v>38</v>
      </c>
      <c r="F814" s="10" t="s">
        <v>34</v>
      </c>
      <c r="G814" s="10" t="n">
        <v>3</v>
      </c>
      <c r="H814" s="12" t="n">
        <v>380</v>
      </c>
      <c r="I814" s="12" t="n">
        <v>260</v>
      </c>
      <c r="J814" s="13" t="n">
        <f aca="false">G814*H814</f>
        <v>1140</v>
      </c>
      <c r="K814" s="13" t="n">
        <f aca="false">J814-G814*I814</f>
        <v>360</v>
      </c>
    </row>
    <row r="815" customFormat="false" ht="15" hidden="false" customHeight="false" outlineLevel="0" collapsed="false">
      <c r="A815" s="10" t="s">
        <v>858</v>
      </c>
      <c r="B815" s="11" t="n">
        <v>46215</v>
      </c>
      <c r="C815" s="10" t="s">
        <v>28</v>
      </c>
      <c r="D815" s="10" t="s">
        <v>29</v>
      </c>
      <c r="E815" s="10" t="s">
        <v>38</v>
      </c>
      <c r="F815" s="10" t="s">
        <v>34</v>
      </c>
      <c r="G815" s="10" t="n">
        <v>1</v>
      </c>
      <c r="H815" s="12" t="n">
        <v>450</v>
      </c>
      <c r="I815" s="12" t="n">
        <v>280</v>
      </c>
      <c r="J815" s="13" t="n">
        <f aca="false">G815*H815</f>
        <v>450</v>
      </c>
      <c r="K815" s="13" t="n">
        <f aca="false">J815-G815*I815</f>
        <v>170</v>
      </c>
    </row>
    <row r="816" customFormat="false" ht="15" hidden="false" customHeight="false" outlineLevel="0" collapsed="false">
      <c r="A816" s="10" t="s">
        <v>859</v>
      </c>
      <c r="B816" s="11" t="n">
        <v>46216</v>
      </c>
      <c r="C816" s="10" t="s">
        <v>23</v>
      </c>
      <c r="D816" s="10" t="s">
        <v>24</v>
      </c>
      <c r="E816" s="10" t="s">
        <v>25</v>
      </c>
      <c r="F816" s="10" t="s">
        <v>26</v>
      </c>
      <c r="G816" s="10" t="n">
        <v>1</v>
      </c>
      <c r="H816" s="12" t="n">
        <v>260</v>
      </c>
      <c r="I816" s="12" t="n">
        <v>180</v>
      </c>
      <c r="J816" s="13" t="n">
        <f aca="false">G816*H816</f>
        <v>260</v>
      </c>
      <c r="K816" s="13" t="n">
        <f aca="false">J816-G816*I816</f>
        <v>80</v>
      </c>
    </row>
    <row r="817" customFormat="false" ht="15" hidden="false" customHeight="false" outlineLevel="0" collapsed="false">
      <c r="A817" s="10" t="s">
        <v>860</v>
      </c>
      <c r="B817" s="11" t="n">
        <v>46216</v>
      </c>
      <c r="C817" s="10" t="s">
        <v>84</v>
      </c>
      <c r="D817" s="10" t="s">
        <v>42</v>
      </c>
      <c r="E817" s="10" t="s">
        <v>30</v>
      </c>
      <c r="F817" s="10" t="s">
        <v>34</v>
      </c>
      <c r="G817" s="10" t="n">
        <v>2</v>
      </c>
      <c r="H817" s="12" t="n">
        <v>480</v>
      </c>
      <c r="I817" s="12" t="n">
        <v>220</v>
      </c>
      <c r="J817" s="13" t="n">
        <f aca="false">G817*H817</f>
        <v>960</v>
      </c>
      <c r="K817" s="13" t="n">
        <f aca="false">J817-G817*I817</f>
        <v>520</v>
      </c>
    </row>
    <row r="818" customFormat="false" ht="15" hidden="false" customHeight="false" outlineLevel="0" collapsed="false">
      <c r="A818" s="10" t="s">
        <v>861</v>
      </c>
      <c r="B818" s="11" t="n">
        <v>46217</v>
      </c>
      <c r="C818" s="10" t="s">
        <v>32</v>
      </c>
      <c r="D818" s="10" t="s">
        <v>29</v>
      </c>
      <c r="E818" s="10" t="s">
        <v>38</v>
      </c>
      <c r="F818" s="10" t="s">
        <v>26</v>
      </c>
      <c r="G818" s="10" t="n">
        <v>3</v>
      </c>
      <c r="H818" s="12" t="n">
        <v>520</v>
      </c>
      <c r="I818" s="12" t="n">
        <v>300</v>
      </c>
      <c r="J818" s="13" t="n">
        <f aca="false">G818*H818</f>
        <v>1560</v>
      </c>
      <c r="K818" s="13" t="n">
        <f aca="false">J818-G818*I818</f>
        <v>660</v>
      </c>
    </row>
    <row r="819" customFormat="false" ht="15" hidden="false" customHeight="false" outlineLevel="0" collapsed="false">
      <c r="A819" s="10" t="s">
        <v>862</v>
      </c>
      <c r="B819" s="11" t="n">
        <v>46217</v>
      </c>
      <c r="C819" s="10" t="s">
        <v>36</v>
      </c>
      <c r="D819" s="10" t="s">
        <v>29</v>
      </c>
      <c r="E819" s="10" t="s">
        <v>30</v>
      </c>
      <c r="F819" s="10" t="s">
        <v>26</v>
      </c>
      <c r="G819" s="10" t="n">
        <v>4</v>
      </c>
      <c r="H819" s="12" t="n">
        <v>380</v>
      </c>
      <c r="I819" s="12" t="n">
        <v>260</v>
      </c>
      <c r="J819" s="13" t="n">
        <f aca="false">G819*H819</f>
        <v>1520</v>
      </c>
      <c r="K819" s="13" t="n">
        <f aca="false">J819-G819*I819</f>
        <v>480</v>
      </c>
    </row>
    <row r="820" customFormat="false" ht="15" hidden="false" customHeight="false" outlineLevel="0" collapsed="false">
      <c r="A820" s="10" t="s">
        <v>863</v>
      </c>
      <c r="B820" s="11" t="n">
        <v>46217</v>
      </c>
      <c r="C820" s="10" t="s">
        <v>28</v>
      </c>
      <c r="D820" s="10" t="s">
        <v>29</v>
      </c>
      <c r="E820" s="10" t="s">
        <v>38</v>
      </c>
      <c r="F820" s="10" t="s">
        <v>34</v>
      </c>
      <c r="G820" s="10" t="n">
        <v>4</v>
      </c>
      <c r="H820" s="12" t="n">
        <v>450</v>
      </c>
      <c r="I820" s="12" t="n">
        <v>280</v>
      </c>
      <c r="J820" s="13" t="n">
        <f aca="false">G820*H820</f>
        <v>1800</v>
      </c>
      <c r="K820" s="13" t="n">
        <f aca="false">J820-G820*I820</f>
        <v>680</v>
      </c>
    </row>
    <row r="821" customFormat="false" ht="15" hidden="false" customHeight="false" outlineLevel="0" collapsed="false">
      <c r="A821" s="10" t="s">
        <v>864</v>
      </c>
      <c r="B821" s="11" t="n">
        <v>46218</v>
      </c>
      <c r="C821" s="10" t="s">
        <v>55</v>
      </c>
      <c r="D821" s="10" t="s">
        <v>24</v>
      </c>
      <c r="E821" s="10" t="s">
        <v>57</v>
      </c>
      <c r="F821" s="10" t="s">
        <v>34</v>
      </c>
      <c r="G821" s="10" t="n">
        <v>4</v>
      </c>
      <c r="H821" s="12" t="n">
        <v>280</v>
      </c>
      <c r="I821" s="12" t="n">
        <v>190</v>
      </c>
      <c r="J821" s="13" t="n">
        <f aca="false">G821*H821</f>
        <v>1120</v>
      </c>
      <c r="K821" s="13" t="n">
        <f aca="false">J821-G821*I821</f>
        <v>360</v>
      </c>
    </row>
    <row r="822" customFormat="false" ht="15" hidden="false" customHeight="false" outlineLevel="0" collapsed="false">
      <c r="A822" s="10" t="s">
        <v>865</v>
      </c>
      <c r="B822" s="11" t="n">
        <v>46218</v>
      </c>
      <c r="C822" s="10" t="s">
        <v>36</v>
      </c>
      <c r="D822" s="10" t="s">
        <v>29</v>
      </c>
      <c r="E822" s="10" t="s">
        <v>30</v>
      </c>
      <c r="F822" s="10" t="s">
        <v>26</v>
      </c>
      <c r="G822" s="10" t="n">
        <v>4</v>
      </c>
      <c r="H822" s="12" t="n">
        <v>380</v>
      </c>
      <c r="I822" s="12" t="n">
        <v>260</v>
      </c>
      <c r="J822" s="13" t="n">
        <f aca="false">G822*H822</f>
        <v>1520</v>
      </c>
      <c r="K822" s="13" t="n">
        <f aca="false">J822-G822*I822</f>
        <v>480</v>
      </c>
    </row>
    <row r="823" customFormat="false" ht="15" hidden="false" customHeight="false" outlineLevel="0" collapsed="false">
      <c r="A823" s="10" t="s">
        <v>866</v>
      </c>
      <c r="B823" s="11" t="n">
        <v>46219</v>
      </c>
      <c r="C823" s="10" t="s">
        <v>28</v>
      </c>
      <c r="D823" s="10" t="s">
        <v>29</v>
      </c>
      <c r="E823" s="10" t="s">
        <v>33</v>
      </c>
      <c r="F823" s="10" t="s">
        <v>26</v>
      </c>
      <c r="G823" s="10" t="n">
        <v>1</v>
      </c>
      <c r="H823" s="12" t="n">
        <v>450</v>
      </c>
      <c r="I823" s="12" t="n">
        <v>280</v>
      </c>
      <c r="J823" s="13" t="n">
        <f aca="false">G823*H823</f>
        <v>450</v>
      </c>
      <c r="K823" s="13" t="n">
        <f aca="false">J823-G823*I823</f>
        <v>170</v>
      </c>
    </row>
    <row r="824" customFormat="false" ht="15" hidden="false" customHeight="false" outlineLevel="0" collapsed="false">
      <c r="A824" s="10" t="s">
        <v>867</v>
      </c>
      <c r="B824" s="11" t="n">
        <v>46219</v>
      </c>
      <c r="C824" s="10" t="s">
        <v>23</v>
      </c>
      <c r="D824" s="10" t="s">
        <v>24</v>
      </c>
      <c r="E824" s="10" t="s">
        <v>33</v>
      </c>
      <c r="F824" s="10" t="s">
        <v>34</v>
      </c>
      <c r="G824" s="10" t="n">
        <v>2</v>
      </c>
      <c r="H824" s="12" t="n">
        <v>260</v>
      </c>
      <c r="I824" s="12" t="n">
        <v>180</v>
      </c>
      <c r="J824" s="13" t="n">
        <f aca="false">G824*H824</f>
        <v>520</v>
      </c>
      <c r="K824" s="13" t="n">
        <f aca="false">J824-G824*I824</f>
        <v>160</v>
      </c>
    </row>
    <row r="825" customFormat="false" ht="15" hidden="false" customHeight="false" outlineLevel="0" collapsed="false">
      <c r="A825" s="10" t="s">
        <v>868</v>
      </c>
      <c r="B825" s="11" t="n">
        <v>46221</v>
      </c>
      <c r="C825" s="10" t="s">
        <v>32</v>
      </c>
      <c r="D825" s="10" t="s">
        <v>29</v>
      </c>
      <c r="E825" s="10" t="s">
        <v>33</v>
      </c>
      <c r="F825" s="10" t="s">
        <v>34</v>
      </c>
      <c r="G825" s="10" t="n">
        <v>4</v>
      </c>
      <c r="H825" s="12" t="n">
        <v>520</v>
      </c>
      <c r="I825" s="12" t="n">
        <v>300</v>
      </c>
      <c r="J825" s="13" t="n">
        <f aca="false">G825*H825</f>
        <v>2080</v>
      </c>
      <c r="K825" s="13" t="n">
        <f aca="false">J825-G825*I825</f>
        <v>880</v>
      </c>
    </row>
    <row r="826" customFormat="false" ht="15" hidden="false" customHeight="false" outlineLevel="0" collapsed="false">
      <c r="A826" s="10" t="s">
        <v>869</v>
      </c>
      <c r="B826" s="11" t="n">
        <v>46221</v>
      </c>
      <c r="C826" s="10" t="s">
        <v>67</v>
      </c>
      <c r="D826" s="10" t="s">
        <v>68</v>
      </c>
      <c r="E826" s="10" t="s">
        <v>38</v>
      </c>
      <c r="F826" s="10" t="s">
        <v>34</v>
      </c>
      <c r="G826" s="10" t="n">
        <v>1</v>
      </c>
      <c r="H826" s="12" t="n">
        <v>2600</v>
      </c>
      <c r="I826" s="12" t="n">
        <v>2100</v>
      </c>
      <c r="J826" s="13" t="n">
        <f aca="false">G826*H826</f>
        <v>2600</v>
      </c>
      <c r="K826" s="13" t="n">
        <f aca="false">J826-G826*I826</f>
        <v>500</v>
      </c>
    </row>
    <row r="827" customFormat="false" ht="15" hidden="false" customHeight="false" outlineLevel="0" collapsed="false">
      <c r="A827" s="10" t="s">
        <v>870</v>
      </c>
      <c r="B827" s="11" t="n">
        <v>46222</v>
      </c>
      <c r="C827" s="10" t="s">
        <v>23</v>
      </c>
      <c r="D827" s="10" t="s">
        <v>24</v>
      </c>
      <c r="E827" s="10" t="s">
        <v>38</v>
      </c>
      <c r="F827" s="10" t="s">
        <v>34</v>
      </c>
      <c r="G827" s="10" t="n">
        <v>1</v>
      </c>
      <c r="H827" s="12" t="n">
        <v>260</v>
      </c>
      <c r="I827" s="12" t="n">
        <v>180</v>
      </c>
      <c r="J827" s="13" t="n">
        <f aca="false">G827*H827</f>
        <v>260</v>
      </c>
      <c r="K827" s="13" t="n">
        <f aca="false">J827-G827*I827</f>
        <v>80</v>
      </c>
    </row>
    <row r="828" customFormat="false" ht="15" hidden="false" customHeight="false" outlineLevel="0" collapsed="false">
      <c r="A828" s="10" t="s">
        <v>871</v>
      </c>
      <c r="B828" s="11" t="n">
        <v>46226</v>
      </c>
      <c r="C828" s="10" t="s">
        <v>101</v>
      </c>
      <c r="D828" s="10" t="s">
        <v>68</v>
      </c>
      <c r="E828" s="10" t="s">
        <v>38</v>
      </c>
      <c r="F828" s="10" t="s">
        <v>26</v>
      </c>
      <c r="G828" s="10" t="n">
        <v>1</v>
      </c>
      <c r="H828" s="12" t="n">
        <v>4200</v>
      </c>
      <c r="I828" s="12" t="n">
        <v>3300</v>
      </c>
      <c r="J828" s="13" t="n">
        <f aca="false">G828*H828</f>
        <v>4200</v>
      </c>
      <c r="K828" s="13" t="n">
        <f aca="false">J828-G828*I828</f>
        <v>900</v>
      </c>
    </row>
    <row r="829" customFormat="false" ht="15" hidden="false" customHeight="false" outlineLevel="0" collapsed="false">
      <c r="A829" s="10" t="s">
        <v>872</v>
      </c>
      <c r="B829" s="11" t="n">
        <v>46226</v>
      </c>
      <c r="C829" s="10" t="s">
        <v>101</v>
      </c>
      <c r="D829" s="10" t="s">
        <v>68</v>
      </c>
      <c r="E829" s="10" t="s">
        <v>38</v>
      </c>
      <c r="F829" s="10" t="s">
        <v>26</v>
      </c>
      <c r="G829" s="10" t="n">
        <v>2</v>
      </c>
      <c r="H829" s="12" t="n">
        <v>4200</v>
      </c>
      <c r="I829" s="12" t="n">
        <v>3300</v>
      </c>
      <c r="J829" s="13" t="n">
        <f aca="false">G829*H829</f>
        <v>8400</v>
      </c>
      <c r="K829" s="13" t="n">
        <f aca="false">J829-G829*I829</f>
        <v>1800</v>
      </c>
    </row>
    <row r="830" customFormat="false" ht="15" hidden="false" customHeight="false" outlineLevel="0" collapsed="false">
      <c r="A830" s="10" t="s">
        <v>873</v>
      </c>
      <c r="B830" s="11" t="n">
        <v>46227</v>
      </c>
      <c r="C830" s="10" t="s">
        <v>55</v>
      </c>
      <c r="D830" s="10" t="s">
        <v>24</v>
      </c>
      <c r="E830" s="10" t="s">
        <v>33</v>
      </c>
      <c r="F830" s="10" t="s">
        <v>34</v>
      </c>
      <c r="G830" s="10" t="n">
        <v>3</v>
      </c>
      <c r="H830" s="12" t="n">
        <v>280</v>
      </c>
      <c r="I830" s="12" t="n">
        <v>190</v>
      </c>
      <c r="J830" s="13" t="n">
        <f aca="false">G830*H830</f>
        <v>840</v>
      </c>
      <c r="K830" s="13" t="n">
        <f aca="false">J830-G830*I830</f>
        <v>270</v>
      </c>
    </row>
    <row r="831" customFormat="false" ht="15" hidden="false" customHeight="false" outlineLevel="0" collapsed="false">
      <c r="A831" s="10" t="s">
        <v>874</v>
      </c>
      <c r="B831" s="11" t="n">
        <v>46228</v>
      </c>
      <c r="C831" s="10" t="s">
        <v>49</v>
      </c>
      <c r="D831" s="10" t="s">
        <v>24</v>
      </c>
      <c r="E831" s="10" t="s">
        <v>33</v>
      </c>
      <c r="F831" s="10" t="s">
        <v>26</v>
      </c>
      <c r="G831" s="10" t="n">
        <v>4</v>
      </c>
      <c r="H831" s="12" t="n">
        <v>250</v>
      </c>
      <c r="I831" s="12" t="n">
        <v>170</v>
      </c>
      <c r="J831" s="13" t="n">
        <f aca="false">G831*H831</f>
        <v>1000</v>
      </c>
      <c r="K831" s="13" t="n">
        <f aca="false">J831-G831*I831</f>
        <v>320</v>
      </c>
    </row>
    <row r="832" customFormat="false" ht="15" hidden="false" customHeight="false" outlineLevel="0" collapsed="false">
      <c r="A832" s="10" t="s">
        <v>875</v>
      </c>
      <c r="B832" s="11" t="n">
        <v>46228</v>
      </c>
      <c r="C832" s="10" t="s">
        <v>41</v>
      </c>
      <c r="D832" s="10" t="s">
        <v>42</v>
      </c>
      <c r="E832" s="10" t="s">
        <v>38</v>
      </c>
      <c r="F832" s="10" t="s">
        <v>34</v>
      </c>
      <c r="G832" s="10" t="n">
        <v>2</v>
      </c>
      <c r="H832" s="12" t="n">
        <v>45</v>
      </c>
      <c r="I832" s="12" t="n">
        <v>20</v>
      </c>
      <c r="J832" s="13" t="n">
        <f aca="false">G832*H832</f>
        <v>90</v>
      </c>
      <c r="K832" s="13" t="n">
        <f aca="false">J832-G832*I832</f>
        <v>50</v>
      </c>
    </row>
    <row r="833" customFormat="false" ht="15" hidden="false" customHeight="false" outlineLevel="0" collapsed="false">
      <c r="A833" s="10" t="s">
        <v>876</v>
      </c>
      <c r="B833" s="11" t="n">
        <v>46229</v>
      </c>
      <c r="C833" s="10" t="s">
        <v>28</v>
      </c>
      <c r="D833" s="10" t="s">
        <v>29</v>
      </c>
      <c r="E833" s="10" t="s">
        <v>38</v>
      </c>
      <c r="F833" s="10" t="s">
        <v>34</v>
      </c>
      <c r="G833" s="10" t="n">
        <v>4</v>
      </c>
      <c r="H833" s="12" t="n">
        <v>450</v>
      </c>
      <c r="I833" s="12" t="n">
        <v>280</v>
      </c>
      <c r="J833" s="13" t="n">
        <f aca="false">G833*H833</f>
        <v>1800</v>
      </c>
      <c r="K833" s="13" t="n">
        <f aca="false">J833-G833*I833</f>
        <v>680</v>
      </c>
    </row>
    <row r="834" customFormat="false" ht="15" hidden="false" customHeight="false" outlineLevel="0" collapsed="false">
      <c r="A834" s="10" t="s">
        <v>877</v>
      </c>
      <c r="B834" s="11" t="n">
        <v>46229</v>
      </c>
      <c r="C834" s="10" t="s">
        <v>49</v>
      </c>
      <c r="D834" s="10" t="s">
        <v>24</v>
      </c>
      <c r="E834" s="10" t="s">
        <v>57</v>
      </c>
      <c r="F834" s="10" t="s">
        <v>34</v>
      </c>
      <c r="G834" s="10" t="n">
        <v>2</v>
      </c>
      <c r="H834" s="12" t="n">
        <v>250</v>
      </c>
      <c r="I834" s="12" t="n">
        <v>170</v>
      </c>
      <c r="J834" s="13" t="n">
        <f aca="false">G834*H834</f>
        <v>500</v>
      </c>
      <c r="K834" s="13" t="n">
        <f aca="false">J834-G834*I834</f>
        <v>160</v>
      </c>
    </row>
    <row r="835" customFormat="false" ht="15" hidden="false" customHeight="false" outlineLevel="0" collapsed="false">
      <c r="A835" s="10" t="s">
        <v>878</v>
      </c>
      <c r="B835" s="11" t="n">
        <v>46231</v>
      </c>
      <c r="C835" s="10" t="s">
        <v>41</v>
      </c>
      <c r="D835" s="10" t="s">
        <v>42</v>
      </c>
      <c r="E835" s="10" t="s">
        <v>38</v>
      </c>
      <c r="F835" s="10" t="s">
        <v>26</v>
      </c>
      <c r="G835" s="10" t="n">
        <v>2</v>
      </c>
      <c r="H835" s="12" t="n">
        <v>45</v>
      </c>
      <c r="I835" s="12" t="n">
        <v>20</v>
      </c>
      <c r="J835" s="13" t="n">
        <f aca="false">G835*H835</f>
        <v>90</v>
      </c>
      <c r="K835" s="13" t="n">
        <f aca="false">J835-G835*I835</f>
        <v>50</v>
      </c>
    </row>
    <row r="836" customFormat="false" ht="15" hidden="false" customHeight="false" outlineLevel="0" collapsed="false">
      <c r="A836" s="10" t="s">
        <v>879</v>
      </c>
      <c r="B836" s="11" t="n">
        <v>46231</v>
      </c>
      <c r="C836" s="10" t="s">
        <v>32</v>
      </c>
      <c r="D836" s="10" t="s">
        <v>29</v>
      </c>
      <c r="E836" s="10" t="s">
        <v>30</v>
      </c>
      <c r="F836" s="10" t="s">
        <v>26</v>
      </c>
      <c r="G836" s="10" t="n">
        <v>3</v>
      </c>
      <c r="H836" s="12" t="n">
        <v>520</v>
      </c>
      <c r="I836" s="12" t="n">
        <v>300</v>
      </c>
      <c r="J836" s="13" t="n">
        <f aca="false">G836*H836</f>
        <v>1560</v>
      </c>
      <c r="K836" s="13" t="n">
        <f aca="false">J836-G836*I836</f>
        <v>660</v>
      </c>
    </row>
    <row r="837" customFormat="false" ht="15" hidden="false" customHeight="false" outlineLevel="0" collapsed="false">
      <c r="A837" s="10" t="s">
        <v>880</v>
      </c>
      <c r="B837" s="11" t="n">
        <v>46234</v>
      </c>
      <c r="C837" s="10" t="s">
        <v>32</v>
      </c>
      <c r="D837" s="10" t="s">
        <v>29</v>
      </c>
      <c r="E837" s="10" t="s">
        <v>25</v>
      </c>
      <c r="F837" s="10" t="s">
        <v>26</v>
      </c>
      <c r="G837" s="10" t="n">
        <v>4</v>
      </c>
      <c r="H837" s="12" t="n">
        <v>520</v>
      </c>
      <c r="I837" s="12" t="n">
        <v>300</v>
      </c>
      <c r="J837" s="13" t="n">
        <f aca="false">G837*H837</f>
        <v>2080</v>
      </c>
      <c r="K837" s="13" t="n">
        <f aca="false">J837-G837*I837</f>
        <v>880</v>
      </c>
    </row>
    <row r="838" customFormat="false" ht="15" hidden="false" customHeight="false" outlineLevel="0" collapsed="false">
      <c r="A838" s="10" t="s">
        <v>881</v>
      </c>
      <c r="B838" s="11" t="n">
        <v>46234</v>
      </c>
      <c r="C838" s="10" t="s">
        <v>55</v>
      </c>
      <c r="D838" s="10" t="s">
        <v>24</v>
      </c>
      <c r="E838" s="10" t="s">
        <v>33</v>
      </c>
      <c r="F838" s="10" t="s">
        <v>34</v>
      </c>
      <c r="G838" s="10" t="n">
        <v>4</v>
      </c>
      <c r="H838" s="12" t="n">
        <v>280</v>
      </c>
      <c r="I838" s="12" t="n">
        <v>190</v>
      </c>
      <c r="J838" s="13" t="n">
        <f aca="false">G838*H838</f>
        <v>1120</v>
      </c>
      <c r="K838" s="13" t="n">
        <f aca="false">J838-G838*I838</f>
        <v>360</v>
      </c>
    </row>
    <row r="839" customFormat="false" ht="15" hidden="false" customHeight="false" outlineLevel="0" collapsed="false">
      <c r="A839" s="10" t="s">
        <v>882</v>
      </c>
      <c r="B839" s="11" t="n">
        <v>46236</v>
      </c>
      <c r="C839" s="10" t="s">
        <v>53</v>
      </c>
      <c r="D839" s="10" t="s">
        <v>24</v>
      </c>
      <c r="E839" s="10" t="s">
        <v>25</v>
      </c>
      <c r="F839" s="10" t="s">
        <v>26</v>
      </c>
      <c r="G839" s="10" t="n">
        <v>4</v>
      </c>
      <c r="H839" s="12" t="n">
        <v>300</v>
      </c>
      <c r="I839" s="12" t="n">
        <v>200</v>
      </c>
      <c r="J839" s="13" t="n">
        <f aca="false">G839*H839</f>
        <v>1200</v>
      </c>
      <c r="K839" s="13" t="n">
        <f aca="false">J839-G839*I839</f>
        <v>400</v>
      </c>
    </row>
    <row r="840" customFormat="false" ht="15" hidden="false" customHeight="false" outlineLevel="0" collapsed="false">
      <c r="A840" s="10" t="s">
        <v>883</v>
      </c>
      <c r="B840" s="11" t="n">
        <v>46240</v>
      </c>
      <c r="C840" s="10" t="s">
        <v>41</v>
      </c>
      <c r="D840" s="10" t="s">
        <v>42</v>
      </c>
      <c r="E840" s="10" t="s">
        <v>33</v>
      </c>
      <c r="F840" s="10" t="s">
        <v>26</v>
      </c>
      <c r="G840" s="10" t="n">
        <v>1</v>
      </c>
      <c r="H840" s="12" t="n">
        <v>45</v>
      </c>
      <c r="I840" s="12" t="n">
        <v>20</v>
      </c>
      <c r="J840" s="13" t="n">
        <f aca="false">G840*H840</f>
        <v>45</v>
      </c>
      <c r="K840" s="13" t="n">
        <f aca="false">J840-G840*I840</f>
        <v>25</v>
      </c>
    </row>
    <row r="841" customFormat="false" ht="15" hidden="false" customHeight="false" outlineLevel="0" collapsed="false">
      <c r="A841" s="10" t="s">
        <v>884</v>
      </c>
      <c r="B841" s="11" t="n">
        <v>46240</v>
      </c>
      <c r="C841" s="10" t="s">
        <v>32</v>
      </c>
      <c r="D841" s="10" t="s">
        <v>29</v>
      </c>
      <c r="E841" s="10" t="s">
        <v>38</v>
      </c>
      <c r="F841" s="10" t="s">
        <v>26</v>
      </c>
      <c r="G841" s="10" t="n">
        <v>2</v>
      </c>
      <c r="H841" s="12" t="n">
        <v>520</v>
      </c>
      <c r="I841" s="12" t="n">
        <v>300</v>
      </c>
      <c r="J841" s="13" t="n">
        <f aca="false">G841*H841</f>
        <v>1040</v>
      </c>
      <c r="K841" s="13" t="n">
        <f aca="false">J841-G841*I841</f>
        <v>440</v>
      </c>
    </row>
    <row r="842" customFormat="false" ht="15" hidden="false" customHeight="false" outlineLevel="0" collapsed="false">
      <c r="A842" s="10" t="s">
        <v>885</v>
      </c>
      <c r="B842" s="11" t="n">
        <v>46240</v>
      </c>
      <c r="C842" s="10" t="s">
        <v>28</v>
      </c>
      <c r="D842" s="10" t="s">
        <v>29</v>
      </c>
      <c r="E842" s="10" t="s">
        <v>38</v>
      </c>
      <c r="F842" s="10" t="s">
        <v>34</v>
      </c>
      <c r="G842" s="10" t="n">
        <v>3</v>
      </c>
      <c r="H842" s="12" t="n">
        <v>450</v>
      </c>
      <c r="I842" s="12" t="n">
        <v>280</v>
      </c>
      <c r="J842" s="13" t="n">
        <f aca="false">G842*H842</f>
        <v>1350</v>
      </c>
      <c r="K842" s="13" t="n">
        <f aca="false">J842-G842*I842</f>
        <v>510</v>
      </c>
    </row>
    <row r="843" customFormat="false" ht="15" hidden="false" customHeight="false" outlineLevel="0" collapsed="false">
      <c r="A843" s="10" t="s">
        <v>886</v>
      </c>
      <c r="B843" s="11" t="n">
        <v>46240</v>
      </c>
      <c r="C843" s="10" t="s">
        <v>53</v>
      </c>
      <c r="D843" s="10" t="s">
        <v>24</v>
      </c>
      <c r="E843" s="10" t="s">
        <v>25</v>
      </c>
      <c r="F843" s="10" t="s">
        <v>26</v>
      </c>
      <c r="G843" s="10" t="n">
        <v>1</v>
      </c>
      <c r="H843" s="12" t="n">
        <v>300</v>
      </c>
      <c r="I843" s="12" t="n">
        <v>200</v>
      </c>
      <c r="J843" s="13" t="n">
        <f aca="false">G843*H843</f>
        <v>300</v>
      </c>
      <c r="K843" s="13" t="n">
        <f aca="false">J843-G843*I843</f>
        <v>100</v>
      </c>
    </row>
    <row r="844" customFormat="false" ht="15" hidden="false" customHeight="false" outlineLevel="0" collapsed="false">
      <c r="A844" s="10" t="s">
        <v>887</v>
      </c>
      <c r="B844" s="11" t="n">
        <v>46242</v>
      </c>
      <c r="C844" s="10" t="s">
        <v>41</v>
      </c>
      <c r="D844" s="10" t="s">
        <v>42</v>
      </c>
      <c r="E844" s="10" t="s">
        <v>30</v>
      </c>
      <c r="F844" s="10" t="s">
        <v>26</v>
      </c>
      <c r="G844" s="10" t="n">
        <v>2</v>
      </c>
      <c r="H844" s="12" t="n">
        <v>45</v>
      </c>
      <c r="I844" s="12" t="n">
        <v>20</v>
      </c>
      <c r="J844" s="13" t="n">
        <f aca="false">G844*H844</f>
        <v>90</v>
      </c>
      <c r="K844" s="13" t="n">
        <f aca="false">J844-G844*I844</f>
        <v>50</v>
      </c>
    </row>
    <row r="845" customFormat="false" ht="15" hidden="false" customHeight="false" outlineLevel="0" collapsed="false">
      <c r="A845" s="10" t="s">
        <v>888</v>
      </c>
      <c r="B845" s="11" t="n">
        <v>46243</v>
      </c>
      <c r="C845" s="10" t="s">
        <v>55</v>
      </c>
      <c r="D845" s="10" t="s">
        <v>24</v>
      </c>
      <c r="E845" s="10" t="s">
        <v>38</v>
      </c>
      <c r="F845" s="10" t="s">
        <v>34</v>
      </c>
      <c r="G845" s="10" t="n">
        <v>1</v>
      </c>
      <c r="H845" s="12" t="n">
        <v>280</v>
      </c>
      <c r="I845" s="12" t="n">
        <v>190</v>
      </c>
      <c r="J845" s="13" t="n">
        <f aca="false">G845*H845</f>
        <v>280</v>
      </c>
      <c r="K845" s="13" t="n">
        <f aca="false">J845-G845*I845</f>
        <v>90</v>
      </c>
    </row>
    <row r="846" customFormat="false" ht="15" hidden="false" customHeight="false" outlineLevel="0" collapsed="false">
      <c r="A846" s="10" t="s">
        <v>889</v>
      </c>
      <c r="B846" s="11" t="n">
        <v>46243</v>
      </c>
      <c r="C846" s="10" t="s">
        <v>23</v>
      </c>
      <c r="D846" s="10" t="s">
        <v>24</v>
      </c>
      <c r="E846" s="10" t="s">
        <v>38</v>
      </c>
      <c r="F846" s="10" t="s">
        <v>26</v>
      </c>
      <c r="G846" s="10" t="n">
        <v>2</v>
      </c>
      <c r="H846" s="12" t="n">
        <v>260</v>
      </c>
      <c r="I846" s="12" t="n">
        <v>180</v>
      </c>
      <c r="J846" s="13" t="n">
        <f aca="false">G846*H846</f>
        <v>520</v>
      </c>
      <c r="K846" s="13" t="n">
        <f aca="false">J846-G846*I846</f>
        <v>160</v>
      </c>
    </row>
    <row r="847" customFormat="false" ht="15" hidden="false" customHeight="false" outlineLevel="0" collapsed="false">
      <c r="A847" s="10" t="s">
        <v>890</v>
      </c>
      <c r="B847" s="11" t="n">
        <v>46243</v>
      </c>
      <c r="C847" s="10" t="s">
        <v>41</v>
      </c>
      <c r="D847" s="10" t="s">
        <v>42</v>
      </c>
      <c r="E847" s="10" t="s">
        <v>30</v>
      </c>
      <c r="F847" s="10" t="s">
        <v>26</v>
      </c>
      <c r="G847" s="10" t="n">
        <v>4</v>
      </c>
      <c r="H847" s="12" t="n">
        <v>45</v>
      </c>
      <c r="I847" s="12" t="n">
        <v>20</v>
      </c>
      <c r="J847" s="13" t="n">
        <f aca="false">G847*H847</f>
        <v>180</v>
      </c>
      <c r="K847" s="13" t="n">
        <f aca="false">J847-G847*I847</f>
        <v>100</v>
      </c>
    </row>
    <row r="848" customFormat="false" ht="15" hidden="false" customHeight="false" outlineLevel="0" collapsed="false">
      <c r="A848" s="10" t="s">
        <v>891</v>
      </c>
      <c r="B848" s="11" t="n">
        <v>46244</v>
      </c>
      <c r="C848" s="10" t="s">
        <v>55</v>
      </c>
      <c r="D848" s="10" t="s">
        <v>24</v>
      </c>
      <c r="E848" s="10" t="s">
        <v>57</v>
      </c>
      <c r="F848" s="10" t="s">
        <v>34</v>
      </c>
      <c r="G848" s="10" t="n">
        <v>4</v>
      </c>
      <c r="H848" s="12" t="n">
        <v>280</v>
      </c>
      <c r="I848" s="12" t="n">
        <v>190</v>
      </c>
      <c r="J848" s="13" t="n">
        <f aca="false">G848*H848</f>
        <v>1120</v>
      </c>
      <c r="K848" s="13" t="n">
        <f aca="false">J848-G848*I848</f>
        <v>360</v>
      </c>
    </row>
    <row r="849" customFormat="false" ht="15" hidden="false" customHeight="false" outlineLevel="0" collapsed="false">
      <c r="A849" s="10" t="s">
        <v>892</v>
      </c>
      <c r="B849" s="11" t="n">
        <v>46245</v>
      </c>
      <c r="C849" s="10" t="s">
        <v>51</v>
      </c>
      <c r="D849" s="10" t="s">
        <v>42</v>
      </c>
      <c r="E849" s="10" t="s">
        <v>30</v>
      </c>
      <c r="F849" s="10" t="s">
        <v>34</v>
      </c>
      <c r="G849" s="10" t="n">
        <v>4</v>
      </c>
      <c r="H849" s="12" t="n">
        <v>130</v>
      </c>
      <c r="I849" s="12" t="n">
        <v>60</v>
      </c>
      <c r="J849" s="13" t="n">
        <f aca="false">G849*H849</f>
        <v>520</v>
      </c>
      <c r="K849" s="13" t="n">
        <f aca="false">J849-G849*I849</f>
        <v>280</v>
      </c>
    </row>
    <row r="850" customFormat="false" ht="15" hidden="false" customHeight="false" outlineLevel="0" collapsed="false">
      <c r="A850" s="10" t="s">
        <v>893</v>
      </c>
      <c r="B850" s="11" t="n">
        <v>46246</v>
      </c>
      <c r="C850" s="10" t="s">
        <v>36</v>
      </c>
      <c r="D850" s="10" t="s">
        <v>29</v>
      </c>
      <c r="E850" s="10" t="s">
        <v>33</v>
      </c>
      <c r="F850" s="10" t="s">
        <v>34</v>
      </c>
      <c r="G850" s="10" t="n">
        <v>2</v>
      </c>
      <c r="H850" s="12" t="n">
        <v>380</v>
      </c>
      <c r="I850" s="12" t="n">
        <v>260</v>
      </c>
      <c r="J850" s="13" t="n">
        <f aca="false">G850*H850</f>
        <v>760</v>
      </c>
      <c r="K850" s="13" t="n">
        <f aca="false">J850-G850*I850</f>
        <v>240</v>
      </c>
    </row>
    <row r="851" customFormat="false" ht="15" hidden="false" customHeight="false" outlineLevel="0" collapsed="false">
      <c r="A851" s="10" t="s">
        <v>894</v>
      </c>
      <c r="B851" s="11" t="n">
        <v>46248</v>
      </c>
      <c r="C851" s="10" t="s">
        <v>51</v>
      </c>
      <c r="D851" s="10" t="s">
        <v>42</v>
      </c>
      <c r="E851" s="10" t="s">
        <v>38</v>
      </c>
      <c r="F851" s="10" t="s">
        <v>26</v>
      </c>
      <c r="G851" s="10" t="n">
        <v>2</v>
      </c>
      <c r="H851" s="12" t="n">
        <v>130</v>
      </c>
      <c r="I851" s="12" t="n">
        <v>60</v>
      </c>
      <c r="J851" s="13" t="n">
        <f aca="false">G851*H851</f>
        <v>260</v>
      </c>
      <c r="K851" s="13" t="n">
        <f aca="false">J851-G851*I851</f>
        <v>140</v>
      </c>
    </row>
    <row r="852" customFormat="false" ht="15" hidden="false" customHeight="false" outlineLevel="0" collapsed="false">
      <c r="A852" s="10" t="s">
        <v>895</v>
      </c>
      <c r="B852" s="11" t="n">
        <v>46249</v>
      </c>
      <c r="C852" s="10" t="s">
        <v>32</v>
      </c>
      <c r="D852" s="10" t="s">
        <v>29</v>
      </c>
      <c r="E852" s="10" t="s">
        <v>33</v>
      </c>
      <c r="F852" s="10" t="s">
        <v>34</v>
      </c>
      <c r="G852" s="10" t="n">
        <v>1</v>
      </c>
      <c r="H852" s="12" t="n">
        <v>520</v>
      </c>
      <c r="I852" s="12" t="n">
        <v>300</v>
      </c>
      <c r="J852" s="13" t="n">
        <f aca="false">G852*H852</f>
        <v>520</v>
      </c>
      <c r="K852" s="13" t="n">
        <f aca="false">J852-G852*I852</f>
        <v>220</v>
      </c>
    </row>
    <row r="853" customFormat="false" ht="15" hidden="false" customHeight="false" outlineLevel="0" collapsed="false">
      <c r="A853" s="10" t="s">
        <v>896</v>
      </c>
      <c r="B853" s="11" t="n">
        <v>46249</v>
      </c>
      <c r="C853" s="10" t="s">
        <v>23</v>
      </c>
      <c r="D853" s="10" t="s">
        <v>24</v>
      </c>
      <c r="E853" s="10" t="s">
        <v>38</v>
      </c>
      <c r="F853" s="10" t="s">
        <v>34</v>
      </c>
      <c r="G853" s="10" t="n">
        <v>4</v>
      </c>
      <c r="H853" s="12" t="n">
        <v>260</v>
      </c>
      <c r="I853" s="12" t="n">
        <v>180</v>
      </c>
      <c r="J853" s="13" t="n">
        <f aca="false">G853*H853</f>
        <v>1040</v>
      </c>
      <c r="K853" s="13" t="n">
        <f aca="false">J853-G853*I853</f>
        <v>320</v>
      </c>
    </row>
    <row r="854" customFormat="false" ht="15" hidden="false" customHeight="false" outlineLevel="0" collapsed="false">
      <c r="A854" s="10" t="s">
        <v>897</v>
      </c>
      <c r="B854" s="11" t="n">
        <v>46250</v>
      </c>
      <c r="C854" s="10" t="s">
        <v>36</v>
      </c>
      <c r="D854" s="10" t="s">
        <v>29</v>
      </c>
      <c r="E854" s="10" t="s">
        <v>57</v>
      </c>
      <c r="F854" s="10" t="s">
        <v>34</v>
      </c>
      <c r="G854" s="10" t="n">
        <v>3</v>
      </c>
      <c r="H854" s="12" t="n">
        <v>380</v>
      </c>
      <c r="I854" s="12" t="n">
        <v>260</v>
      </c>
      <c r="J854" s="13" t="n">
        <f aca="false">G854*H854</f>
        <v>1140</v>
      </c>
      <c r="K854" s="13" t="n">
        <f aca="false">J854-G854*I854</f>
        <v>360</v>
      </c>
    </row>
    <row r="855" customFormat="false" ht="15" hidden="false" customHeight="false" outlineLevel="0" collapsed="false">
      <c r="A855" s="10" t="s">
        <v>898</v>
      </c>
      <c r="B855" s="11" t="n">
        <v>46251</v>
      </c>
      <c r="C855" s="10" t="s">
        <v>101</v>
      </c>
      <c r="D855" s="10" t="s">
        <v>68</v>
      </c>
      <c r="E855" s="10" t="s">
        <v>30</v>
      </c>
      <c r="F855" s="10" t="s">
        <v>26</v>
      </c>
      <c r="G855" s="10" t="n">
        <v>2</v>
      </c>
      <c r="H855" s="12" t="n">
        <v>4200</v>
      </c>
      <c r="I855" s="12" t="n">
        <v>3300</v>
      </c>
      <c r="J855" s="13" t="n">
        <f aca="false">G855*H855</f>
        <v>8400</v>
      </c>
      <c r="K855" s="13" t="n">
        <f aca="false">J855-G855*I855</f>
        <v>1800</v>
      </c>
    </row>
    <row r="856" customFormat="false" ht="15" hidden="false" customHeight="false" outlineLevel="0" collapsed="false">
      <c r="A856" s="10" t="s">
        <v>899</v>
      </c>
      <c r="B856" s="11" t="n">
        <v>46251</v>
      </c>
      <c r="C856" s="10" t="s">
        <v>32</v>
      </c>
      <c r="D856" s="10" t="s">
        <v>29</v>
      </c>
      <c r="E856" s="10" t="s">
        <v>38</v>
      </c>
      <c r="F856" s="10" t="s">
        <v>34</v>
      </c>
      <c r="G856" s="10" t="n">
        <v>2</v>
      </c>
      <c r="H856" s="12" t="n">
        <v>520</v>
      </c>
      <c r="I856" s="12" t="n">
        <v>300</v>
      </c>
      <c r="J856" s="13" t="n">
        <f aca="false">G856*H856</f>
        <v>1040</v>
      </c>
      <c r="K856" s="13" t="n">
        <f aca="false">J856-G856*I856</f>
        <v>440</v>
      </c>
    </row>
    <row r="857" customFormat="false" ht="15" hidden="false" customHeight="false" outlineLevel="0" collapsed="false">
      <c r="A857" s="10" t="s">
        <v>900</v>
      </c>
      <c r="B857" s="11" t="n">
        <v>46252</v>
      </c>
      <c r="C857" s="10" t="s">
        <v>32</v>
      </c>
      <c r="D857" s="10" t="s">
        <v>29</v>
      </c>
      <c r="E857" s="10" t="s">
        <v>33</v>
      </c>
      <c r="F857" s="10" t="s">
        <v>26</v>
      </c>
      <c r="G857" s="10" t="n">
        <v>2</v>
      </c>
      <c r="H857" s="12" t="n">
        <v>520</v>
      </c>
      <c r="I857" s="12" t="n">
        <v>300</v>
      </c>
      <c r="J857" s="13" t="n">
        <f aca="false">G857*H857</f>
        <v>1040</v>
      </c>
      <c r="K857" s="13" t="n">
        <f aca="false">J857-G857*I857</f>
        <v>440</v>
      </c>
    </row>
    <row r="858" customFormat="false" ht="15" hidden="false" customHeight="false" outlineLevel="0" collapsed="false">
      <c r="A858" s="10" t="s">
        <v>901</v>
      </c>
      <c r="B858" s="11" t="n">
        <v>46252</v>
      </c>
      <c r="C858" s="10" t="s">
        <v>51</v>
      </c>
      <c r="D858" s="10" t="s">
        <v>42</v>
      </c>
      <c r="E858" s="10" t="s">
        <v>30</v>
      </c>
      <c r="F858" s="10" t="s">
        <v>34</v>
      </c>
      <c r="G858" s="10" t="n">
        <v>3</v>
      </c>
      <c r="H858" s="12" t="n">
        <v>130</v>
      </c>
      <c r="I858" s="12" t="n">
        <v>60</v>
      </c>
      <c r="J858" s="13" t="n">
        <f aca="false">G858*H858</f>
        <v>390</v>
      </c>
      <c r="K858" s="13" t="n">
        <f aca="false">J858-G858*I858</f>
        <v>210</v>
      </c>
    </row>
    <row r="859" customFormat="false" ht="15" hidden="false" customHeight="false" outlineLevel="0" collapsed="false">
      <c r="A859" s="10" t="s">
        <v>902</v>
      </c>
      <c r="B859" s="11" t="n">
        <v>46253</v>
      </c>
      <c r="C859" s="10" t="s">
        <v>55</v>
      </c>
      <c r="D859" s="10" t="s">
        <v>24</v>
      </c>
      <c r="E859" s="10" t="s">
        <v>30</v>
      </c>
      <c r="F859" s="10" t="s">
        <v>34</v>
      </c>
      <c r="G859" s="10" t="n">
        <v>3</v>
      </c>
      <c r="H859" s="12" t="n">
        <v>280</v>
      </c>
      <c r="I859" s="12" t="n">
        <v>190</v>
      </c>
      <c r="J859" s="13" t="n">
        <f aca="false">G859*H859</f>
        <v>840</v>
      </c>
      <c r="K859" s="13" t="n">
        <f aca="false">J859-G859*I859</f>
        <v>270</v>
      </c>
    </row>
    <row r="860" customFormat="false" ht="15" hidden="false" customHeight="false" outlineLevel="0" collapsed="false">
      <c r="A860" s="10" t="s">
        <v>903</v>
      </c>
      <c r="B860" s="11" t="n">
        <v>46253</v>
      </c>
      <c r="C860" s="10" t="s">
        <v>51</v>
      </c>
      <c r="D860" s="10" t="s">
        <v>42</v>
      </c>
      <c r="E860" s="10" t="s">
        <v>33</v>
      </c>
      <c r="F860" s="10" t="s">
        <v>26</v>
      </c>
      <c r="G860" s="10" t="n">
        <v>4</v>
      </c>
      <c r="H860" s="12" t="n">
        <v>130</v>
      </c>
      <c r="I860" s="12" t="n">
        <v>60</v>
      </c>
      <c r="J860" s="13" t="n">
        <f aca="false">G860*H860</f>
        <v>520</v>
      </c>
      <c r="K860" s="13" t="n">
        <f aca="false">J860-G860*I860</f>
        <v>280</v>
      </c>
    </row>
    <row r="861" customFormat="false" ht="15" hidden="false" customHeight="false" outlineLevel="0" collapsed="false">
      <c r="A861" s="10" t="s">
        <v>904</v>
      </c>
      <c r="B861" s="11" t="n">
        <v>46254</v>
      </c>
      <c r="C861" s="10" t="s">
        <v>49</v>
      </c>
      <c r="D861" s="10" t="s">
        <v>24</v>
      </c>
      <c r="E861" s="10" t="s">
        <v>33</v>
      </c>
      <c r="F861" s="10" t="s">
        <v>26</v>
      </c>
      <c r="G861" s="10" t="n">
        <v>2</v>
      </c>
      <c r="H861" s="12" t="n">
        <v>250</v>
      </c>
      <c r="I861" s="12" t="n">
        <v>170</v>
      </c>
      <c r="J861" s="13" t="n">
        <f aca="false">G861*H861</f>
        <v>500</v>
      </c>
      <c r="K861" s="13" t="n">
        <f aca="false">J861-G861*I861</f>
        <v>160</v>
      </c>
    </row>
    <row r="862" customFormat="false" ht="15" hidden="false" customHeight="false" outlineLevel="0" collapsed="false">
      <c r="A862" s="10" t="s">
        <v>905</v>
      </c>
      <c r="B862" s="11" t="n">
        <v>46254</v>
      </c>
      <c r="C862" s="10" t="s">
        <v>23</v>
      </c>
      <c r="D862" s="10" t="s">
        <v>24</v>
      </c>
      <c r="E862" s="10" t="s">
        <v>33</v>
      </c>
      <c r="F862" s="10" t="s">
        <v>26</v>
      </c>
      <c r="G862" s="10" t="n">
        <v>3</v>
      </c>
      <c r="H862" s="12" t="n">
        <v>260</v>
      </c>
      <c r="I862" s="12" t="n">
        <v>180</v>
      </c>
      <c r="J862" s="13" t="n">
        <f aca="false">G862*H862</f>
        <v>780</v>
      </c>
      <c r="K862" s="13" t="n">
        <f aca="false">J862-G862*I862</f>
        <v>240</v>
      </c>
    </row>
    <row r="863" customFormat="false" ht="15" hidden="false" customHeight="false" outlineLevel="0" collapsed="false">
      <c r="A863" s="10" t="s">
        <v>906</v>
      </c>
      <c r="B863" s="11" t="n">
        <v>46255</v>
      </c>
      <c r="C863" s="10" t="s">
        <v>49</v>
      </c>
      <c r="D863" s="10" t="s">
        <v>24</v>
      </c>
      <c r="E863" s="10" t="s">
        <v>25</v>
      </c>
      <c r="F863" s="10" t="s">
        <v>34</v>
      </c>
      <c r="G863" s="10" t="n">
        <v>4</v>
      </c>
      <c r="H863" s="12" t="n">
        <v>250</v>
      </c>
      <c r="I863" s="12" t="n">
        <v>170</v>
      </c>
      <c r="J863" s="13" t="n">
        <f aca="false">G863*H863</f>
        <v>1000</v>
      </c>
      <c r="K863" s="13" t="n">
        <f aca="false">J863-G863*I863</f>
        <v>320</v>
      </c>
    </row>
    <row r="864" customFormat="false" ht="15" hidden="false" customHeight="false" outlineLevel="0" collapsed="false">
      <c r="A864" s="10" t="s">
        <v>907</v>
      </c>
      <c r="B864" s="11" t="n">
        <v>46255</v>
      </c>
      <c r="C864" s="10" t="s">
        <v>32</v>
      </c>
      <c r="D864" s="10" t="s">
        <v>29</v>
      </c>
      <c r="E864" s="10" t="s">
        <v>38</v>
      </c>
      <c r="F864" s="10" t="s">
        <v>26</v>
      </c>
      <c r="G864" s="10" t="n">
        <v>1</v>
      </c>
      <c r="H864" s="12" t="n">
        <v>520</v>
      </c>
      <c r="I864" s="12" t="n">
        <v>300</v>
      </c>
      <c r="J864" s="13" t="n">
        <f aca="false">G864*H864</f>
        <v>520</v>
      </c>
      <c r="K864" s="13" t="n">
        <f aca="false">J864-G864*I864</f>
        <v>220</v>
      </c>
    </row>
    <row r="865" customFormat="false" ht="15" hidden="false" customHeight="false" outlineLevel="0" collapsed="false">
      <c r="A865" s="10" t="s">
        <v>908</v>
      </c>
      <c r="B865" s="11" t="n">
        <v>46255</v>
      </c>
      <c r="C865" s="10" t="s">
        <v>84</v>
      </c>
      <c r="D865" s="10" t="s">
        <v>42</v>
      </c>
      <c r="E865" s="10" t="s">
        <v>38</v>
      </c>
      <c r="F865" s="10" t="s">
        <v>26</v>
      </c>
      <c r="G865" s="10" t="n">
        <v>1</v>
      </c>
      <c r="H865" s="12" t="n">
        <v>480</v>
      </c>
      <c r="I865" s="12" t="n">
        <v>220</v>
      </c>
      <c r="J865" s="13" t="n">
        <f aca="false">G865*H865</f>
        <v>480</v>
      </c>
      <c r="K865" s="13" t="n">
        <f aca="false">J865-G865*I865</f>
        <v>260</v>
      </c>
    </row>
    <row r="866" customFormat="false" ht="15" hidden="false" customHeight="false" outlineLevel="0" collapsed="false">
      <c r="A866" s="10" t="s">
        <v>909</v>
      </c>
      <c r="B866" s="11" t="n">
        <v>46256</v>
      </c>
      <c r="C866" s="10" t="s">
        <v>51</v>
      </c>
      <c r="D866" s="10" t="s">
        <v>42</v>
      </c>
      <c r="E866" s="10" t="s">
        <v>30</v>
      </c>
      <c r="F866" s="10" t="s">
        <v>34</v>
      </c>
      <c r="G866" s="10" t="n">
        <v>4</v>
      </c>
      <c r="H866" s="12" t="n">
        <v>130</v>
      </c>
      <c r="I866" s="12" t="n">
        <v>60</v>
      </c>
      <c r="J866" s="13" t="n">
        <f aca="false">G866*H866</f>
        <v>520</v>
      </c>
      <c r="K866" s="13" t="n">
        <f aca="false">J866-G866*I866</f>
        <v>280</v>
      </c>
    </row>
    <row r="867" customFormat="false" ht="15" hidden="false" customHeight="false" outlineLevel="0" collapsed="false">
      <c r="A867" s="10" t="s">
        <v>910</v>
      </c>
      <c r="B867" s="11" t="n">
        <v>46256</v>
      </c>
      <c r="C867" s="10" t="s">
        <v>41</v>
      </c>
      <c r="D867" s="10" t="s">
        <v>42</v>
      </c>
      <c r="E867" s="10" t="s">
        <v>33</v>
      </c>
      <c r="F867" s="10" t="s">
        <v>26</v>
      </c>
      <c r="G867" s="10" t="n">
        <v>2</v>
      </c>
      <c r="H867" s="12" t="n">
        <v>45</v>
      </c>
      <c r="I867" s="12" t="n">
        <v>20</v>
      </c>
      <c r="J867" s="13" t="n">
        <f aca="false">G867*H867</f>
        <v>90</v>
      </c>
      <c r="K867" s="13" t="n">
        <f aca="false">J867-G867*I867</f>
        <v>50</v>
      </c>
    </row>
    <row r="868" customFormat="false" ht="15" hidden="false" customHeight="false" outlineLevel="0" collapsed="false">
      <c r="A868" s="10" t="s">
        <v>911</v>
      </c>
      <c r="B868" s="11" t="n">
        <v>46257</v>
      </c>
      <c r="C868" s="10" t="s">
        <v>55</v>
      </c>
      <c r="D868" s="10" t="s">
        <v>24</v>
      </c>
      <c r="E868" s="10" t="s">
        <v>30</v>
      </c>
      <c r="F868" s="10" t="s">
        <v>34</v>
      </c>
      <c r="G868" s="10" t="n">
        <v>4</v>
      </c>
      <c r="H868" s="12" t="n">
        <v>280</v>
      </c>
      <c r="I868" s="12" t="n">
        <v>190</v>
      </c>
      <c r="J868" s="13" t="n">
        <f aca="false">G868*H868</f>
        <v>1120</v>
      </c>
      <c r="K868" s="13" t="n">
        <f aca="false">J868-G868*I868</f>
        <v>360</v>
      </c>
    </row>
    <row r="869" customFormat="false" ht="15" hidden="false" customHeight="false" outlineLevel="0" collapsed="false">
      <c r="A869" s="10" t="s">
        <v>912</v>
      </c>
      <c r="B869" s="11" t="n">
        <v>46258</v>
      </c>
      <c r="C869" s="10" t="s">
        <v>84</v>
      </c>
      <c r="D869" s="10" t="s">
        <v>42</v>
      </c>
      <c r="E869" s="10" t="s">
        <v>33</v>
      </c>
      <c r="F869" s="10" t="s">
        <v>26</v>
      </c>
      <c r="G869" s="10" t="n">
        <v>2</v>
      </c>
      <c r="H869" s="12" t="n">
        <v>480</v>
      </c>
      <c r="I869" s="12" t="n">
        <v>220</v>
      </c>
      <c r="J869" s="13" t="n">
        <f aca="false">G869*H869</f>
        <v>960</v>
      </c>
      <c r="K869" s="13" t="n">
        <f aca="false">J869-G869*I869</f>
        <v>520</v>
      </c>
    </row>
    <row r="870" customFormat="false" ht="15" hidden="false" customHeight="false" outlineLevel="0" collapsed="false">
      <c r="A870" s="10" t="s">
        <v>913</v>
      </c>
      <c r="B870" s="11" t="n">
        <v>46260</v>
      </c>
      <c r="C870" s="10" t="s">
        <v>32</v>
      </c>
      <c r="D870" s="10" t="s">
        <v>29</v>
      </c>
      <c r="E870" s="10" t="s">
        <v>25</v>
      </c>
      <c r="F870" s="10" t="s">
        <v>26</v>
      </c>
      <c r="G870" s="10" t="n">
        <v>3</v>
      </c>
      <c r="H870" s="12" t="n">
        <v>520</v>
      </c>
      <c r="I870" s="12" t="n">
        <v>300</v>
      </c>
      <c r="J870" s="13" t="n">
        <f aca="false">G870*H870</f>
        <v>1560</v>
      </c>
      <c r="K870" s="13" t="n">
        <f aca="false">J870-G870*I870</f>
        <v>660</v>
      </c>
    </row>
    <row r="871" customFormat="false" ht="15" hidden="false" customHeight="false" outlineLevel="0" collapsed="false">
      <c r="A871" s="10" t="s">
        <v>914</v>
      </c>
      <c r="B871" s="11" t="n">
        <v>46261</v>
      </c>
      <c r="C871" s="10" t="s">
        <v>53</v>
      </c>
      <c r="D871" s="10" t="s">
        <v>24</v>
      </c>
      <c r="E871" s="10" t="s">
        <v>33</v>
      </c>
      <c r="F871" s="10" t="s">
        <v>34</v>
      </c>
      <c r="G871" s="10" t="n">
        <v>2</v>
      </c>
      <c r="H871" s="12" t="n">
        <v>300</v>
      </c>
      <c r="I871" s="12" t="n">
        <v>200</v>
      </c>
      <c r="J871" s="13" t="n">
        <f aca="false">G871*H871</f>
        <v>600</v>
      </c>
      <c r="K871" s="13" t="n">
        <f aca="false">J871-G871*I871</f>
        <v>200</v>
      </c>
    </row>
    <row r="872" customFormat="false" ht="15" hidden="false" customHeight="false" outlineLevel="0" collapsed="false">
      <c r="A872" s="10" t="s">
        <v>915</v>
      </c>
      <c r="B872" s="11" t="n">
        <v>46262</v>
      </c>
      <c r="C872" s="10" t="s">
        <v>23</v>
      </c>
      <c r="D872" s="10" t="s">
        <v>24</v>
      </c>
      <c r="E872" s="10" t="s">
        <v>38</v>
      </c>
      <c r="F872" s="10" t="s">
        <v>26</v>
      </c>
      <c r="G872" s="10" t="n">
        <v>2</v>
      </c>
      <c r="H872" s="12" t="n">
        <v>260</v>
      </c>
      <c r="I872" s="12" t="n">
        <v>180</v>
      </c>
      <c r="J872" s="13" t="n">
        <f aca="false">G872*H872</f>
        <v>520</v>
      </c>
      <c r="K872" s="13" t="n">
        <f aca="false">J872-G872*I872</f>
        <v>160</v>
      </c>
    </row>
    <row r="873" customFormat="false" ht="15" hidden="false" customHeight="false" outlineLevel="0" collapsed="false">
      <c r="A873" s="10" t="s">
        <v>916</v>
      </c>
      <c r="B873" s="11" t="n">
        <v>46262</v>
      </c>
      <c r="C873" s="10" t="s">
        <v>23</v>
      </c>
      <c r="D873" s="10" t="s">
        <v>24</v>
      </c>
      <c r="E873" s="10" t="s">
        <v>30</v>
      </c>
      <c r="F873" s="10" t="s">
        <v>34</v>
      </c>
      <c r="G873" s="10" t="n">
        <v>2</v>
      </c>
      <c r="H873" s="12" t="n">
        <v>260</v>
      </c>
      <c r="I873" s="12" t="n">
        <v>180</v>
      </c>
      <c r="J873" s="13" t="n">
        <f aca="false">G873*H873</f>
        <v>520</v>
      </c>
      <c r="K873" s="13" t="n">
        <f aca="false">J873-G873*I873</f>
        <v>160</v>
      </c>
    </row>
    <row r="874" customFormat="false" ht="15" hidden="false" customHeight="false" outlineLevel="0" collapsed="false">
      <c r="A874" s="10" t="s">
        <v>917</v>
      </c>
      <c r="B874" s="11" t="n">
        <v>46262</v>
      </c>
      <c r="C874" s="10" t="s">
        <v>36</v>
      </c>
      <c r="D874" s="10" t="s">
        <v>29</v>
      </c>
      <c r="E874" s="10" t="s">
        <v>25</v>
      </c>
      <c r="F874" s="10" t="s">
        <v>34</v>
      </c>
      <c r="G874" s="10" t="n">
        <v>2</v>
      </c>
      <c r="H874" s="12" t="n">
        <v>380</v>
      </c>
      <c r="I874" s="12" t="n">
        <v>260</v>
      </c>
      <c r="J874" s="13" t="n">
        <f aca="false">G874*H874</f>
        <v>760</v>
      </c>
      <c r="K874" s="13" t="n">
        <f aca="false">J874-G874*I874</f>
        <v>240</v>
      </c>
    </row>
    <row r="875" customFormat="false" ht="15" hidden="false" customHeight="false" outlineLevel="0" collapsed="false">
      <c r="A875" s="10" t="s">
        <v>918</v>
      </c>
      <c r="B875" s="11" t="n">
        <v>46262</v>
      </c>
      <c r="C875" s="10" t="s">
        <v>36</v>
      </c>
      <c r="D875" s="10" t="s">
        <v>29</v>
      </c>
      <c r="E875" s="10" t="s">
        <v>33</v>
      </c>
      <c r="F875" s="10" t="s">
        <v>34</v>
      </c>
      <c r="G875" s="10" t="n">
        <v>4</v>
      </c>
      <c r="H875" s="12" t="n">
        <v>380</v>
      </c>
      <c r="I875" s="12" t="n">
        <v>260</v>
      </c>
      <c r="J875" s="13" t="n">
        <f aca="false">G875*H875</f>
        <v>1520</v>
      </c>
      <c r="K875" s="13" t="n">
        <f aca="false">J875-G875*I875</f>
        <v>480</v>
      </c>
    </row>
    <row r="876" customFormat="false" ht="15" hidden="false" customHeight="false" outlineLevel="0" collapsed="false">
      <c r="A876" s="10" t="s">
        <v>919</v>
      </c>
      <c r="B876" s="11" t="n">
        <v>46265</v>
      </c>
      <c r="C876" s="10" t="s">
        <v>51</v>
      </c>
      <c r="D876" s="10" t="s">
        <v>42</v>
      </c>
      <c r="E876" s="10" t="s">
        <v>33</v>
      </c>
      <c r="F876" s="10" t="s">
        <v>26</v>
      </c>
      <c r="G876" s="10" t="n">
        <v>4</v>
      </c>
      <c r="H876" s="12" t="n">
        <v>130</v>
      </c>
      <c r="I876" s="12" t="n">
        <v>60</v>
      </c>
      <c r="J876" s="13" t="n">
        <f aca="false">G876*H876</f>
        <v>520</v>
      </c>
      <c r="K876" s="13" t="n">
        <f aca="false">J876-G876*I876</f>
        <v>280</v>
      </c>
    </row>
    <row r="877" customFormat="false" ht="15" hidden="false" customHeight="false" outlineLevel="0" collapsed="false">
      <c r="A877" s="10" t="s">
        <v>920</v>
      </c>
      <c r="B877" s="11" t="n">
        <v>46272</v>
      </c>
      <c r="C877" s="10" t="s">
        <v>49</v>
      </c>
      <c r="D877" s="10" t="s">
        <v>24</v>
      </c>
      <c r="E877" s="10" t="s">
        <v>38</v>
      </c>
      <c r="F877" s="10" t="s">
        <v>26</v>
      </c>
      <c r="G877" s="10" t="n">
        <v>2</v>
      </c>
      <c r="H877" s="12" t="n">
        <v>250</v>
      </c>
      <c r="I877" s="12" t="n">
        <v>170</v>
      </c>
      <c r="J877" s="13" t="n">
        <f aca="false">G877*H877</f>
        <v>500</v>
      </c>
      <c r="K877" s="13" t="n">
        <f aca="false">J877-G877*I877</f>
        <v>160</v>
      </c>
    </row>
    <row r="878" customFormat="false" ht="15" hidden="false" customHeight="false" outlineLevel="0" collapsed="false">
      <c r="A878" s="10" t="s">
        <v>921</v>
      </c>
      <c r="B878" s="11" t="n">
        <v>46273</v>
      </c>
      <c r="C878" s="10" t="s">
        <v>55</v>
      </c>
      <c r="D878" s="10" t="s">
        <v>24</v>
      </c>
      <c r="E878" s="10" t="s">
        <v>38</v>
      </c>
      <c r="F878" s="10" t="s">
        <v>26</v>
      </c>
      <c r="G878" s="10" t="n">
        <v>1</v>
      </c>
      <c r="H878" s="12" t="n">
        <v>280</v>
      </c>
      <c r="I878" s="12" t="n">
        <v>190</v>
      </c>
      <c r="J878" s="13" t="n">
        <f aca="false">G878*H878</f>
        <v>280</v>
      </c>
      <c r="K878" s="13" t="n">
        <f aca="false">J878-G878*I878</f>
        <v>90</v>
      </c>
    </row>
    <row r="879" customFormat="false" ht="15" hidden="false" customHeight="false" outlineLevel="0" collapsed="false">
      <c r="A879" s="10" t="s">
        <v>922</v>
      </c>
      <c r="B879" s="11" t="n">
        <v>46273</v>
      </c>
      <c r="C879" s="10" t="s">
        <v>32</v>
      </c>
      <c r="D879" s="10" t="s">
        <v>29</v>
      </c>
      <c r="E879" s="10" t="s">
        <v>33</v>
      </c>
      <c r="F879" s="10" t="s">
        <v>26</v>
      </c>
      <c r="G879" s="10" t="n">
        <v>2</v>
      </c>
      <c r="H879" s="12" t="n">
        <v>520</v>
      </c>
      <c r="I879" s="12" t="n">
        <v>300</v>
      </c>
      <c r="J879" s="13" t="n">
        <f aca="false">G879*H879</f>
        <v>1040</v>
      </c>
      <c r="K879" s="13" t="n">
        <f aca="false">J879-G879*I879</f>
        <v>440</v>
      </c>
    </row>
    <row r="880" customFormat="false" ht="15" hidden="false" customHeight="false" outlineLevel="0" collapsed="false">
      <c r="A880" s="10" t="s">
        <v>923</v>
      </c>
      <c r="B880" s="11" t="n">
        <v>46274</v>
      </c>
      <c r="C880" s="10" t="s">
        <v>49</v>
      </c>
      <c r="D880" s="10" t="s">
        <v>24</v>
      </c>
      <c r="E880" s="10" t="s">
        <v>38</v>
      </c>
      <c r="F880" s="10" t="s">
        <v>26</v>
      </c>
      <c r="G880" s="10" t="n">
        <v>1</v>
      </c>
      <c r="H880" s="12" t="n">
        <v>250</v>
      </c>
      <c r="I880" s="12" t="n">
        <v>170</v>
      </c>
      <c r="J880" s="13" t="n">
        <f aca="false">G880*H880</f>
        <v>250</v>
      </c>
      <c r="K880" s="13" t="n">
        <f aca="false">J880-G880*I880</f>
        <v>80</v>
      </c>
    </row>
    <row r="881" customFormat="false" ht="15" hidden="false" customHeight="false" outlineLevel="0" collapsed="false">
      <c r="A881" s="10" t="s">
        <v>924</v>
      </c>
      <c r="B881" s="11" t="n">
        <v>46275</v>
      </c>
      <c r="C881" s="10" t="s">
        <v>49</v>
      </c>
      <c r="D881" s="10" t="s">
        <v>24</v>
      </c>
      <c r="E881" s="10" t="s">
        <v>38</v>
      </c>
      <c r="F881" s="10" t="s">
        <v>34</v>
      </c>
      <c r="G881" s="10" t="n">
        <v>4</v>
      </c>
      <c r="H881" s="12" t="n">
        <v>250</v>
      </c>
      <c r="I881" s="12" t="n">
        <v>170</v>
      </c>
      <c r="J881" s="13" t="n">
        <f aca="false">G881*H881</f>
        <v>1000</v>
      </c>
      <c r="K881" s="13" t="n">
        <f aca="false">J881-G881*I881</f>
        <v>320</v>
      </c>
    </row>
    <row r="882" customFormat="false" ht="15" hidden="false" customHeight="false" outlineLevel="0" collapsed="false">
      <c r="A882" s="10" t="s">
        <v>925</v>
      </c>
      <c r="B882" s="11" t="n">
        <v>46276</v>
      </c>
      <c r="C882" s="10" t="s">
        <v>28</v>
      </c>
      <c r="D882" s="10" t="s">
        <v>29</v>
      </c>
      <c r="E882" s="10" t="s">
        <v>25</v>
      </c>
      <c r="F882" s="10" t="s">
        <v>34</v>
      </c>
      <c r="G882" s="10" t="n">
        <v>1</v>
      </c>
      <c r="H882" s="12" t="n">
        <v>450</v>
      </c>
      <c r="I882" s="12" t="n">
        <v>280</v>
      </c>
      <c r="J882" s="13" t="n">
        <f aca="false">G882*H882</f>
        <v>450</v>
      </c>
      <c r="K882" s="13" t="n">
        <f aca="false">J882-G882*I882</f>
        <v>170</v>
      </c>
    </row>
    <row r="883" customFormat="false" ht="15" hidden="false" customHeight="false" outlineLevel="0" collapsed="false">
      <c r="A883" s="10" t="s">
        <v>926</v>
      </c>
      <c r="B883" s="11" t="n">
        <v>46277</v>
      </c>
      <c r="C883" s="10" t="s">
        <v>41</v>
      </c>
      <c r="D883" s="10" t="s">
        <v>42</v>
      </c>
      <c r="E883" s="10" t="s">
        <v>38</v>
      </c>
      <c r="F883" s="10" t="s">
        <v>26</v>
      </c>
      <c r="G883" s="10" t="n">
        <v>2</v>
      </c>
      <c r="H883" s="12" t="n">
        <v>45</v>
      </c>
      <c r="I883" s="12" t="n">
        <v>20</v>
      </c>
      <c r="J883" s="13" t="n">
        <f aca="false">G883*H883</f>
        <v>90</v>
      </c>
      <c r="K883" s="13" t="n">
        <f aca="false">J883-G883*I883</f>
        <v>50</v>
      </c>
    </row>
    <row r="884" customFormat="false" ht="15" hidden="false" customHeight="false" outlineLevel="0" collapsed="false">
      <c r="A884" s="10" t="s">
        <v>927</v>
      </c>
      <c r="B884" s="11" t="n">
        <v>46278</v>
      </c>
      <c r="C884" s="10" t="s">
        <v>28</v>
      </c>
      <c r="D884" s="10" t="s">
        <v>29</v>
      </c>
      <c r="E884" s="10" t="s">
        <v>25</v>
      </c>
      <c r="F884" s="10" t="s">
        <v>26</v>
      </c>
      <c r="G884" s="10" t="n">
        <v>2</v>
      </c>
      <c r="H884" s="12" t="n">
        <v>450</v>
      </c>
      <c r="I884" s="12" t="n">
        <v>280</v>
      </c>
      <c r="J884" s="13" t="n">
        <f aca="false">G884*H884</f>
        <v>900</v>
      </c>
      <c r="K884" s="13" t="n">
        <f aca="false">J884-G884*I884</f>
        <v>340</v>
      </c>
    </row>
    <row r="885" customFormat="false" ht="15" hidden="false" customHeight="false" outlineLevel="0" collapsed="false">
      <c r="A885" s="10" t="s">
        <v>928</v>
      </c>
      <c r="B885" s="11" t="n">
        <v>46280</v>
      </c>
      <c r="C885" s="10" t="s">
        <v>28</v>
      </c>
      <c r="D885" s="10" t="s">
        <v>29</v>
      </c>
      <c r="E885" s="10" t="s">
        <v>38</v>
      </c>
      <c r="F885" s="10" t="s">
        <v>26</v>
      </c>
      <c r="G885" s="10" t="n">
        <v>4</v>
      </c>
      <c r="H885" s="12" t="n">
        <v>450</v>
      </c>
      <c r="I885" s="12" t="n">
        <v>280</v>
      </c>
      <c r="J885" s="13" t="n">
        <f aca="false">G885*H885</f>
        <v>1800</v>
      </c>
      <c r="K885" s="13" t="n">
        <f aca="false">J885-G885*I885</f>
        <v>680</v>
      </c>
    </row>
    <row r="886" customFormat="false" ht="15" hidden="false" customHeight="false" outlineLevel="0" collapsed="false">
      <c r="A886" s="10" t="s">
        <v>929</v>
      </c>
      <c r="B886" s="11" t="n">
        <v>46282</v>
      </c>
      <c r="C886" s="10" t="s">
        <v>53</v>
      </c>
      <c r="D886" s="10" t="s">
        <v>24</v>
      </c>
      <c r="E886" s="10" t="s">
        <v>38</v>
      </c>
      <c r="F886" s="10" t="s">
        <v>26</v>
      </c>
      <c r="G886" s="10" t="n">
        <v>1</v>
      </c>
      <c r="H886" s="12" t="n">
        <v>300</v>
      </c>
      <c r="I886" s="12" t="n">
        <v>200</v>
      </c>
      <c r="J886" s="13" t="n">
        <f aca="false">G886*H886</f>
        <v>300</v>
      </c>
      <c r="K886" s="13" t="n">
        <f aca="false">J886-G886*I886</f>
        <v>100</v>
      </c>
    </row>
    <row r="887" customFormat="false" ht="15" hidden="false" customHeight="false" outlineLevel="0" collapsed="false">
      <c r="A887" s="10" t="s">
        <v>930</v>
      </c>
      <c r="B887" s="11" t="n">
        <v>46282</v>
      </c>
      <c r="C887" s="10" t="s">
        <v>36</v>
      </c>
      <c r="D887" s="10" t="s">
        <v>29</v>
      </c>
      <c r="E887" s="10" t="s">
        <v>38</v>
      </c>
      <c r="F887" s="10" t="s">
        <v>34</v>
      </c>
      <c r="G887" s="10" t="n">
        <v>1</v>
      </c>
      <c r="H887" s="12" t="n">
        <v>380</v>
      </c>
      <c r="I887" s="12" t="n">
        <v>260</v>
      </c>
      <c r="J887" s="13" t="n">
        <f aca="false">G887*H887</f>
        <v>380</v>
      </c>
      <c r="K887" s="13" t="n">
        <f aca="false">J887-G887*I887</f>
        <v>120</v>
      </c>
    </row>
    <row r="888" customFormat="false" ht="15" hidden="false" customHeight="false" outlineLevel="0" collapsed="false">
      <c r="A888" s="10" t="s">
        <v>931</v>
      </c>
      <c r="B888" s="11" t="n">
        <v>46282</v>
      </c>
      <c r="C888" s="10" t="s">
        <v>49</v>
      </c>
      <c r="D888" s="10" t="s">
        <v>24</v>
      </c>
      <c r="E888" s="10" t="s">
        <v>33</v>
      </c>
      <c r="F888" s="10" t="s">
        <v>26</v>
      </c>
      <c r="G888" s="10" t="n">
        <v>4</v>
      </c>
      <c r="H888" s="12" t="n">
        <v>250</v>
      </c>
      <c r="I888" s="12" t="n">
        <v>170</v>
      </c>
      <c r="J888" s="13" t="n">
        <f aca="false">G888*H888</f>
        <v>1000</v>
      </c>
      <c r="K888" s="13" t="n">
        <f aca="false">J888-G888*I888</f>
        <v>320</v>
      </c>
    </row>
    <row r="889" customFormat="false" ht="15" hidden="false" customHeight="false" outlineLevel="0" collapsed="false">
      <c r="A889" s="10" t="s">
        <v>932</v>
      </c>
      <c r="B889" s="11" t="n">
        <v>46284</v>
      </c>
      <c r="C889" s="10" t="s">
        <v>55</v>
      </c>
      <c r="D889" s="10" t="s">
        <v>24</v>
      </c>
      <c r="E889" s="10" t="s">
        <v>33</v>
      </c>
      <c r="F889" s="10" t="s">
        <v>26</v>
      </c>
      <c r="G889" s="10" t="n">
        <v>1</v>
      </c>
      <c r="H889" s="12" t="n">
        <v>280</v>
      </c>
      <c r="I889" s="12" t="n">
        <v>190</v>
      </c>
      <c r="J889" s="13" t="n">
        <f aca="false">G889*H889</f>
        <v>280</v>
      </c>
      <c r="K889" s="13" t="n">
        <f aca="false">J889-G889*I889</f>
        <v>90</v>
      </c>
    </row>
    <row r="890" customFormat="false" ht="15" hidden="false" customHeight="false" outlineLevel="0" collapsed="false">
      <c r="A890" s="10" t="s">
        <v>933</v>
      </c>
      <c r="B890" s="11" t="n">
        <v>46285</v>
      </c>
      <c r="C890" s="10" t="s">
        <v>32</v>
      </c>
      <c r="D890" s="10" t="s">
        <v>29</v>
      </c>
      <c r="E890" s="10" t="s">
        <v>33</v>
      </c>
      <c r="F890" s="10" t="s">
        <v>26</v>
      </c>
      <c r="G890" s="10" t="n">
        <v>4</v>
      </c>
      <c r="H890" s="12" t="n">
        <v>520</v>
      </c>
      <c r="I890" s="12" t="n">
        <v>300</v>
      </c>
      <c r="J890" s="13" t="n">
        <f aca="false">G890*H890</f>
        <v>2080</v>
      </c>
      <c r="K890" s="13" t="n">
        <f aca="false">J890-G890*I890</f>
        <v>880</v>
      </c>
    </row>
    <row r="891" customFormat="false" ht="15" hidden="false" customHeight="false" outlineLevel="0" collapsed="false">
      <c r="A891" s="10" t="s">
        <v>934</v>
      </c>
      <c r="B891" s="11" t="n">
        <v>46285</v>
      </c>
      <c r="C891" s="10" t="s">
        <v>51</v>
      </c>
      <c r="D891" s="10" t="s">
        <v>42</v>
      </c>
      <c r="E891" s="10" t="s">
        <v>33</v>
      </c>
      <c r="F891" s="10" t="s">
        <v>26</v>
      </c>
      <c r="G891" s="10" t="n">
        <v>2</v>
      </c>
      <c r="H891" s="12" t="n">
        <v>130</v>
      </c>
      <c r="I891" s="12" t="n">
        <v>60</v>
      </c>
      <c r="J891" s="13" t="n">
        <f aca="false">G891*H891</f>
        <v>260</v>
      </c>
      <c r="K891" s="13" t="n">
        <f aca="false">J891-G891*I891</f>
        <v>140</v>
      </c>
    </row>
    <row r="892" customFormat="false" ht="15" hidden="false" customHeight="false" outlineLevel="0" collapsed="false">
      <c r="A892" s="10" t="s">
        <v>935</v>
      </c>
      <c r="B892" s="11" t="n">
        <v>46285</v>
      </c>
      <c r="C892" s="10" t="s">
        <v>28</v>
      </c>
      <c r="D892" s="10" t="s">
        <v>29</v>
      </c>
      <c r="E892" s="10" t="s">
        <v>30</v>
      </c>
      <c r="F892" s="10" t="s">
        <v>26</v>
      </c>
      <c r="G892" s="10" t="n">
        <v>2</v>
      </c>
      <c r="H892" s="12" t="n">
        <v>450</v>
      </c>
      <c r="I892" s="12" t="n">
        <v>280</v>
      </c>
      <c r="J892" s="13" t="n">
        <f aca="false">G892*H892</f>
        <v>900</v>
      </c>
      <c r="K892" s="13" t="n">
        <f aca="false">J892-G892*I892</f>
        <v>340</v>
      </c>
    </row>
    <row r="893" customFormat="false" ht="15" hidden="false" customHeight="false" outlineLevel="0" collapsed="false">
      <c r="A893" s="10" t="s">
        <v>936</v>
      </c>
      <c r="B893" s="11" t="n">
        <v>46286</v>
      </c>
      <c r="C893" s="10" t="s">
        <v>51</v>
      </c>
      <c r="D893" s="10" t="s">
        <v>42</v>
      </c>
      <c r="E893" s="10" t="s">
        <v>38</v>
      </c>
      <c r="F893" s="10" t="s">
        <v>26</v>
      </c>
      <c r="G893" s="10" t="n">
        <v>4</v>
      </c>
      <c r="H893" s="12" t="n">
        <v>130</v>
      </c>
      <c r="I893" s="12" t="n">
        <v>60</v>
      </c>
      <c r="J893" s="13" t="n">
        <f aca="false">G893*H893</f>
        <v>520</v>
      </c>
      <c r="K893" s="13" t="n">
        <f aca="false">J893-G893*I893</f>
        <v>280</v>
      </c>
    </row>
    <row r="894" customFormat="false" ht="15" hidden="false" customHeight="false" outlineLevel="0" collapsed="false">
      <c r="A894" s="10" t="s">
        <v>937</v>
      </c>
      <c r="B894" s="11" t="n">
        <v>46287</v>
      </c>
      <c r="C894" s="10" t="s">
        <v>55</v>
      </c>
      <c r="D894" s="10" t="s">
        <v>24</v>
      </c>
      <c r="E894" s="10" t="s">
        <v>38</v>
      </c>
      <c r="F894" s="10" t="s">
        <v>34</v>
      </c>
      <c r="G894" s="10" t="n">
        <v>2</v>
      </c>
      <c r="H894" s="12" t="n">
        <v>280</v>
      </c>
      <c r="I894" s="12" t="n">
        <v>190</v>
      </c>
      <c r="J894" s="13" t="n">
        <f aca="false">G894*H894</f>
        <v>560</v>
      </c>
      <c r="K894" s="13" t="n">
        <f aca="false">J894-G894*I894</f>
        <v>180</v>
      </c>
    </row>
    <row r="895" customFormat="false" ht="15" hidden="false" customHeight="false" outlineLevel="0" collapsed="false">
      <c r="A895" s="10" t="s">
        <v>938</v>
      </c>
      <c r="B895" s="11" t="n">
        <v>46287</v>
      </c>
      <c r="C895" s="10" t="s">
        <v>51</v>
      </c>
      <c r="D895" s="10" t="s">
        <v>42</v>
      </c>
      <c r="E895" s="10" t="s">
        <v>38</v>
      </c>
      <c r="F895" s="10" t="s">
        <v>34</v>
      </c>
      <c r="G895" s="10" t="n">
        <v>3</v>
      </c>
      <c r="H895" s="12" t="n">
        <v>130</v>
      </c>
      <c r="I895" s="12" t="n">
        <v>60</v>
      </c>
      <c r="J895" s="13" t="n">
        <f aca="false">G895*H895</f>
        <v>390</v>
      </c>
      <c r="K895" s="13" t="n">
        <f aca="false">J895-G895*I895</f>
        <v>210</v>
      </c>
    </row>
    <row r="896" customFormat="false" ht="15" hidden="false" customHeight="false" outlineLevel="0" collapsed="false">
      <c r="A896" s="10" t="s">
        <v>939</v>
      </c>
      <c r="B896" s="11" t="n">
        <v>46287</v>
      </c>
      <c r="C896" s="10" t="s">
        <v>55</v>
      </c>
      <c r="D896" s="10" t="s">
        <v>24</v>
      </c>
      <c r="E896" s="10" t="s">
        <v>33</v>
      </c>
      <c r="F896" s="10" t="s">
        <v>34</v>
      </c>
      <c r="G896" s="10" t="n">
        <v>1</v>
      </c>
      <c r="H896" s="12" t="n">
        <v>280</v>
      </c>
      <c r="I896" s="12" t="n">
        <v>190</v>
      </c>
      <c r="J896" s="13" t="n">
        <f aca="false">G896*H896</f>
        <v>280</v>
      </c>
      <c r="K896" s="13" t="n">
        <f aca="false">J896-G896*I896</f>
        <v>90</v>
      </c>
    </row>
    <row r="897" customFormat="false" ht="15" hidden="false" customHeight="false" outlineLevel="0" collapsed="false">
      <c r="A897" s="10" t="s">
        <v>940</v>
      </c>
      <c r="B897" s="11" t="n">
        <v>46289</v>
      </c>
      <c r="C897" s="10" t="s">
        <v>101</v>
      </c>
      <c r="D897" s="10" t="s">
        <v>68</v>
      </c>
      <c r="E897" s="10" t="s">
        <v>57</v>
      </c>
      <c r="F897" s="10" t="s">
        <v>34</v>
      </c>
      <c r="G897" s="10" t="n">
        <v>1</v>
      </c>
      <c r="H897" s="12" t="n">
        <v>4200</v>
      </c>
      <c r="I897" s="12" t="n">
        <v>3300</v>
      </c>
      <c r="J897" s="13" t="n">
        <f aca="false">G897*H897</f>
        <v>4200</v>
      </c>
      <c r="K897" s="13" t="n">
        <f aca="false">J897-G897*I897</f>
        <v>900</v>
      </c>
    </row>
    <row r="898" customFormat="false" ht="15" hidden="false" customHeight="false" outlineLevel="0" collapsed="false">
      <c r="A898" s="10" t="s">
        <v>941</v>
      </c>
      <c r="B898" s="11" t="n">
        <v>46290</v>
      </c>
      <c r="C898" s="10" t="s">
        <v>49</v>
      </c>
      <c r="D898" s="10" t="s">
        <v>24</v>
      </c>
      <c r="E898" s="10" t="s">
        <v>33</v>
      </c>
      <c r="F898" s="10" t="s">
        <v>34</v>
      </c>
      <c r="G898" s="10" t="n">
        <v>2</v>
      </c>
      <c r="H898" s="12" t="n">
        <v>250</v>
      </c>
      <c r="I898" s="12" t="n">
        <v>170</v>
      </c>
      <c r="J898" s="13" t="n">
        <f aca="false">G898*H898</f>
        <v>500</v>
      </c>
      <c r="K898" s="13" t="n">
        <f aca="false">J898-G898*I898</f>
        <v>160</v>
      </c>
    </row>
    <row r="899" customFormat="false" ht="15" hidden="false" customHeight="false" outlineLevel="0" collapsed="false">
      <c r="A899" s="10" t="s">
        <v>942</v>
      </c>
      <c r="B899" s="11" t="n">
        <v>46291</v>
      </c>
      <c r="C899" s="10" t="s">
        <v>23</v>
      </c>
      <c r="D899" s="10" t="s">
        <v>24</v>
      </c>
      <c r="E899" s="10" t="s">
        <v>33</v>
      </c>
      <c r="F899" s="10" t="s">
        <v>34</v>
      </c>
      <c r="G899" s="10" t="n">
        <v>3</v>
      </c>
      <c r="H899" s="12" t="n">
        <v>260</v>
      </c>
      <c r="I899" s="12" t="n">
        <v>180</v>
      </c>
      <c r="J899" s="13" t="n">
        <f aca="false">G899*H899</f>
        <v>780</v>
      </c>
      <c r="K899" s="13" t="n">
        <f aca="false">J899-G899*I899</f>
        <v>240</v>
      </c>
    </row>
    <row r="900" customFormat="false" ht="15" hidden="false" customHeight="false" outlineLevel="0" collapsed="false">
      <c r="A900" s="10" t="s">
        <v>943</v>
      </c>
      <c r="B900" s="11" t="n">
        <v>46292</v>
      </c>
      <c r="C900" s="10" t="s">
        <v>23</v>
      </c>
      <c r="D900" s="10" t="s">
        <v>24</v>
      </c>
      <c r="E900" s="10" t="s">
        <v>33</v>
      </c>
      <c r="F900" s="10" t="s">
        <v>34</v>
      </c>
      <c r="G900" s="10" t="n">
        <v>2</v>
      </c>
      <c r="H900" s="12" t="n">
        <v>260</v>
      </c>
      <c r="I900" s="12" t="n">
        <v>180</v>
      </c>
      <c r="J900" s="13" t="n">
        <f aca="false">G900*H900</f>
        <v>520</v>
      </c>
      <c r="K900" s="13" t="n">
        <f aca="false">J900-G900*I900</f>
        <v>160</v>
      </c>
    </row>
    <row r="901" customFormat="false" ht="15" hidden="false" customHeight="false" outlineLevel="0" collapsed="false">
      <c r="A901" s="10" t="s">
        <v>944</v>
      </c>
      <c r="B901" s="11" t="n">
        <v>46293</v>
      </c>
      <c r="C901" s="10" t="s">
        <v>55</v>
      </c>
      <c r="D901" s="10" t="s">
        <v>24</v>
      </c>
      <c r="E901" s="10" t="s">
        <v>38</v>
      </c>
      <c r="F901" s="10" t="s">
        <v>26</v>
      </c>
      <c r="G901" s="10" t="n">
        <v>3</v>
      </c>
      <c r="H901" s="12" t="n">
        <v>280</v>
      </c>
      <c r="I901" s="12" t="n">
        <v>190</v>
      </c>
      <c r="J901" s="13" t="n">
        <f aca="false">G901*H901</f>
        <v>840</v>
      </c>
      <c r="K901" s="13" t="n">
        <f aca="false">J901-G901*I901</f>
        <v>270</v>
      </c>
    </row>
  </sheetData>
  <autoFilter ref="A1:K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4" t="s">
        <v>945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false" outlineLevel="0" collapsed="false">
      <c r="A2" s="15" t="s">
        <v>946</v>
      </c>
      <c r="B2" s="15" t="s">
        <v>947</v>
      </c>
      <c r="C2" s="15" t="s">
        <v>948</v>
      </c>
      <c r="D2" s="15" t="s">
        <v>949</v>
      </c>
      <c r="H2" s="15" t="s">
        <v>950</v>
      </c>
      <c r="I2" s="15" t="s">
        <v>951</v>
      </c>
      <c r="K2" s="15" t="s">
        <v>952</v>
      </c>
      <c r="L2" s="15" t="s">
        <v>953</v>
      </c>
      <c r="M2" s="15" t="s">
        <v>20</v>
      </c>
    </row>
    <row r="3" customFormat="false" ht="15" hidden="false" customHeight="false" outlineLevel="0" collapsed="false">
      <c r="A3" s="16" t="s">
        <v>6</v>
      </c>
      <c r="B3" s="16" t="s">
        <v>7</v>
      </c>
      <c r="C3" s="16" t="s">
        <v>7</v>
      </c>
      <c r="D3" s="16" t="s">
        <v>6</v>
      </c>
      <c r="H3" s="17" t="s">
        <v>954</v>
      </c>
      <c r="I3" s="18" t="n">
        <f aca="false">IF(f_ano="Todos",DATE(1900,1,1),DATE(f_ano,1,1))</f>
        <v>2</v>
      </c>
      <c r="K3" s="19" t="n">
        <f aca="false">DATE(YEAR(MIN(b_data)),MONTH(MIN(b_data)),1)</f>
        <v>45292</v>
      </c>
      <c r="L3" s="20" t="str">
        <f aca="false">CHOOSE(MONTH(K3),"jan","fev","mar","abr","mai","jun","jul","ago","set","out","nov","dez")&amp;"/"&amp;RIGHT(YEAR(K3),2)</f>
        <v>jan/24</v>
      </c>
      <c r="M3" s="21" t="n">
        <f aca="false">SUMIFS(b_receita,b_data,"&gt;="&amp;K3,b_data,"&lt;"&amp;EDATE(K3,1),b_regiao,c_regiao,b_categoria,c_cat,b_canal,c_canal)</f>
        <v>12825</v>
      </c>
    </row>
    <row r="4" customFormat="false" ht="15" hidden="false" customHeight="false" outlineLevel="0" collapsed="false">
      <c r="A4" s="16" t="n">
        <v>2024</v>
      </c>
      <c r="B4" s="16" t="s">
        <v>57</v>
      </c>
      <c r="C4" s="16" t="s">
        <v>68</v>
      </c>
      <c r="D4" s="16" t="s">
        <v>34</v>
      </c>
      <c r="H4" s="17" t="s">
        <v>955</v>
      </c>
      <c r="I4" s="18" t="n">
        <f aca="false">IF(f_ano="Todos",DATE(2999,12,31),DATE(f_ano,12,31))</f>
        <v>401768</v>
      </c>
      <c r="K4" s="19" t="n">
        <f aca="false">EDATE(K3,1)</f>
        <v>45323</v>
      </c>
      <c r="L4" s="20" t="str">
        <f aca="false">CHOOSE(MONTH(K4),"jan","fev","mar","abr","mai","jun","jul","ago","set","out","nov","dez")&amp;"/"&amp;RIGHT(YEAR(K4),2)</f>
        <v>fev/24</v>
      </c>
      <c r="M4" s="21" t="n">
        <f aca="false">SUMIFS(b_receita,b_data,"&gt;="&amp;K4,b_data,"&lt;"&amp;EDATE(K4,1),b_regiao,c_regiao,b_categoria,c_cat,b_canal,c_canal)</f>
        <v>18645</v>
      </c>
    </row>
    <row r="5" customFormat="false" ht="15" hidden="false" customHeight="false" outlineLevel="0" collapsed="false">
      <c r="A5" s="16" t="n">
        <v>2025</v>
      </c>
      <c r="B5" s="16" t="s">
        <v>30</v>
      </c>
      <c r="C5" s="16" t="s">
        <v>29</v>
      </c>
      <c r="D5" s="16" t="s">
        <v>26</v>
      </c>
      <c r="H5" s="17" t="s">
        <v>3</v>
      </c>
      <c r="I5" s="22" t="str">
        <f aca="false">IF(f_regiao="Todas","*",f_regiao)</f>
        <v>*</v>
      </c>
      <c r="K5" s="19" t="n">
        <f aca="false">EDATE(K4,1)</f>
        <v>45352</v>
      </c>
      <c r="L5" s="20" t="str">
        <f aca="false">CHOOSE(MONTH(K5),"jan","fev","mar","abr","mai","jun","jul","ago","set","out","nov","dez")&amp;"/"&amp;RIGHT(YEAR(K5),2)</f>
        <v>mar/24</v>
      </c>
      <c r="M5" s="21" t="n">
        <f aca="false">SUMIFS(b_receita,b_data,"&gt;="&amp;K5,b_data,"&lt;"&amp;EDATE(K5,1),b_regiao,c_regiao,b_categoria,c_cat,b_canal,c_canal)</f>
        <v>22690</v>
      </c>
    </row>
    <row r="6" customFormat="false" ht="15" hidden="false" customHeight="false" outlineLevel="0" collapsed="false">
      <c r="A6" s="16" t="n">
        <v>2026</v>
      </c>
      <c r="B6" s="16" t="s">
        <v>25</v>
      </c>
      <c r="C6" s="16" t="s">
        <v>24</v>
      </c>
      <c r="H6" s="17" t="s">
        <v>4</v>
      </c>
      <c r="I6" s="22" t="str">
        <f aca="false">IF(f_categoria="Todas","*",f_categoria)</f>
        <v>*</v>
      </c>
      <c r="K6" s="19" t="n">
        <f aca="false">EDATE(K5,1)</f>
        <v>45383</v>
      </c>
      <c r="L6" s="20" t="str">
        <f aca="false">CHOOSE(MONTH(K6),"jan","fev","mar","abr","mai","jun","jul","ago","set","out","nov","dez")&amp;"/"&amp;RIGHT(YEAR(K6),2)</f>
        <v>abr/24</v>
      </c>
      <c r="M6" s="21" t="n">
        <f aca="false">SUMIFS(b_receita,b_data,"&gt;="&amp;K6,b_data,"&lt;"&amp;EDATE(K6,1),b_regiao,c_regiao,b_categoria,c_cat,b_canal,c_canal)</f>
        <v>28390</v>
      </c>
    </row>
    <row r="7" customFormat="false" ht="15" hidden="false" customHeight="false" outlineLevel="0" collapsed="false">
      <c r="B7" s="16" t="s">
        <v>38</v>
      </c>
      <c r="C7" s="16" t="s">
        <v>42</v>
      </c>
      <c r="H7" s="17" t="s">
        <v>5</v>
      </c>
      <c r="I7" s="22" t="str">
        <f aca="false">IF(f_canal="Todos","*",f_canal)</f>
        <v>*</v>
      </c>
      <c r="K7" s="19" t="n">
        <f aca="false">EDATE(K6,1)</f>
        <v>45413</v>
      </c>
      <c r="L7" s="20" t="str">
        <f aca="false">CHOOSE(MONTH(K7),"jan","fev","mar","abr","mai","jun","jul","ago","set","out","nov","dez")&amp;"/"&amp;RIGHT(YEAR(K7),2)</f>
        <v>mai/24</v>
      </c>
      <c r="M7" s="21" t="n">
        <f aca="false">SUMIFS(b_receita,b_data,"&gt;="&amp;K7,b_data,"&lt;"&amp;EDATE(K7,1),b_regiao,c_regiao,b_categoria,c_cat,b_canal,c_canal)</f>
        <v>23955</v>
      </c>
    </row>
    <row r="8" customFormat="false" ht="15" hidden="false" customHeight="false" outlineLevel="0" collapsed="false">
      <c r="B8" s="16" t="s">
        <v>33</v>
      </c>
      <c r="K8" s="19" t="n">
        <f aca="false">EDATE(K7,1)</f>
        <v>45444</v>
      </c>
      <c r="L8" s="20" t="str">
        <f aca="false">CHOOSE(MONTH(K8),"jan","fev","mar","abr","mai","jun","jul","ago","set","out","nov","dez")&amp;"/"&amp;RIGHT(YEAR(K8),2)</f>
        <v>jun/24</v>
      </c>
      <c r="M8" s="21" t="n">
        <f aca="false">SUMIFS(b_receita,b_data,"&gt;="&amp;K8,b_data,"&lt;"&amp;EDATE(K8,1),b_regiao,c_regiao,b_categoria,c_cat,b_canal,c_canal)</f>
        <v>12245</v>
      </c>
    </row>
    <row r="9" customFormat="false" ht="15" hidden="false" customHeight="false" outlineLevel="0" collapsed="false">
      <c r="K9" s="19" t="n">
        <f aca="false">EDATE(K8,1)</f>
        <v>45474</v>
      </c>
      <c r="L9" s="20" t="str">
        <f aca="false">CHOOSE(MONTH(K9),"jan","fev","mar","abr","mai","jun","jul","ago","set","out","nov","dez")&amp;"/"&amp;RIGHT(YEAR(K9),2)</f>
        <v>jul/24</v>
      </c>
      <c r="M9" s="21" t="n">
        <f aca="false">SUMIFS(b_receita,b_data,"&gt;="&amp;K9,b_data,"&lt;"&amp;EDATE(K9,1),b_regiao,c_regiao,b_categoria,c_cat,b_canal,c_canal)</f>
        <v>13955</v>
      </c>
    </row>
    <row r="10" customFormat="false" ht="15" hidden="false" customHeight="false" outlineLevel="0" collapsed="false">
      <c r="K10" s="19" t="n">
        <f aca="false">EDATE(K9,1)</f>
        <v>45505</v>
      </c>
      <c r="L10" s="20" t="str">
        <f aca="false">CHOOSE(MONTH(K10),"jan","fev","mar","abr","mai","jun","jul","ago","set","out","nov","dez")&amp;"/"&amp;RIGHT(YEAR(K10),2)</f>
        <v>ago/24</v>
      </c>
      <c r="M10" s="21" t="n">
        <f aca="false">SUMIFS(b_receita,b_data,"&gt;="&amp;K10,b_data,"&lt;"&amp;EDATE(K10,1),b_regiao,c_regiao,b_categoria,c_cat,b_canal,c_canal)</f>
        <v>18730</v>
      </c>
    </row>
    <row r="11" customFormat="false" ht="15" hidden="false" customHeight="false" outlineLevel="0" collapsed="false">
      <c r="A11" s="15" t="s">
        <v>4</v>
      </c>
      <c r="B11" s="15" t="s">
        <v>20</v>
      </c>
      <c r="D11" s="15" t="s">
        <v>3</v>
      </c>
      <c r="E11" s="15" t="s">
        <v>20</v>
      </c>
      <c r="G11" s="15" t="s">
        <v>5</v>
      </c>
      <c r="H11" s="15" t="s">
        <v>20</v>
      </c>
      <c r="K11" s="19" t="n">
        <f aca="false">EDATE(K10,1)</f>
        <v>45536</v>
      </c>
      <c r="L11" s="20" t="str">
        <f aca="false">CHOOSE(MONTH(K11),"jan","fev","mar","abr","mai","jun","jul","ago","set","out","nov","dez")&amp;"/"&amp;RIGHT(YEAR(K11),2)</f>
        <v>set/24</v>
      </c>
      <c r="M11" s="21" t="n">
        <f aca="false">SUMIFS(b_receita,b_data,"&gt;="&amp;K11,b_data,"&lt;"&amp;EDATE(K11,1),b_regiao,c_regiao,b_categoria,c_cat,b_canal,c_canal)</f>
        <v>15445</v>
      </c>
    </row>
    <row r="12" customFormat="false" ht="15" hidden="false" customHeight="false" outlineLevel="0" collapsed="false">
      <c r="A12" s="17" t="str">
        <f aca="false">C4</f>
        <v>Console</v>
      </c>
      <c r="B12" s="21" t="n">
        <f aca="false">SUMIFS(b_receita,b_categoria,A12,b_data,"&gt;="&amp;c_ini,b_data,"&lt;="&amp;c_fim,b_regiao,c_regiao,b_canal,c_canal)</f>
        <v>361600</v>
      </c>
      <c r="D12" s="17" t="str">
        <f aca="false">B4</f>
        <v>Norte</v>
      </c>
      <c r="E12" s="21" t="n">
        <f aca="false">SUMIFS(b_receita,b_regiao,D12,b_data,"&gt;="&amp;c_ini,b_data,"&lt;="&amp;c_fim,b_categoria,c_cat,b_canal,c_canal)</f>
        <v>46810</v>
      </c>
      <c r="G12" s="17" t="str">
        <f aca="false">D4</f>
        <v>Loja física</v>
      </c>
      <c r="H12" s="21" t="n">
        <f aca="false">SUMIFS(b_receita,b_canal,G12,b_data,"&gt;="&amp;c_ini,b_data,"&lt;="&amp;c_fim,b_regiao,c_regiao,b_categoria,c_cat)</f>
        <v>397995</v>
      </c>
      <c r="K12" s="19" t="n">
        <f aca="false">EDATE(K11,1)</f>
        <v>45566</v>
      </c>
      <c r="L12" s="20" t="str">
        <f aca="false">CHOOSE(MONTH(K12),"jan","fev","mar","abr","mai","jun","jul","ago","set","out","nov","dez")&amp;"/"&amp;RIGHT(YEAR(K12),2)</f>
        <v>out/24</v>
      </c>
      <c r="M12" s="21" t="n">
        <f aca="false">SUMIFS(b_receita,b_data,"&gt;="&amp;K12,b_data,"&lt;"&amp;EDATE(K12,1),b_regiao,c_regiao,b_categoria,c_cat,b_canal,c_canal)</f>
        <v>23320</v>
      </c>
    </row>
    <row r="13" customFormat="false" ht="15" hidden="false" customHeight="false" outlineLevel="0" collapsed="false">
      <c r="A13" s="17" t="str">
        <f aca="false">C5</f>
        <v>Acessório</v>
      </c>
      <c r="B13" s="21" t="n">
        <f aca="false">SUMIFS(b_receita,b_categoria,A13,b_data,"&gt;="&amp;c_ini,b_data,"&lt;="&amp;c_fim,b_regiao,c_regiao,b_canal,c_canal)</f>
        <v>325310</v>
      </c>
      <c r="D13" s="17" t="str">
        <f aca="false">B5</f>
        <v>Nordeste</v>
      </c>
      <c r="E13" s="21" t="n">
        <f aca="false">SUMIFS(b_receita,b_regiao,D13,b_data,"&gt;="&amp;c_ini,b_data,"&lt;="&amp;c_fim,b_categoria,c_cat,b_canal,c_canal)</f>
        <v>209010</v>
      </c>
      <c r="G13" s="17" t="str">
        <f aca="false">D5</f>
        <v>Online</v>
      </c>
      <c r="H13" s="21" t="n">
        <f aca="false">SUMIFS(b_receita,b_canal,G13,b_data,"&gt;="&amp;c_ini,b_data,"&lt;="&amp;c_fim,b_regiao,c_regiao,b_categoria,c_cat)</f>
        <v>579495</v>
      </c>
      <c r="K13" s="19" t="n">
        <f aca="false">EDATE(K12,1)</f>
        <v>45597</v>
      </c>
      <c r="L13" s="20" t="str">
        <f aca="false">CHOOSE(MONTH(K13),"jan","fev","mar","abr","mai","jun","jul","ago","set","out","nov","dez")&amp;"/"&amp;RIGHT(YEAR(K13),2)</f>
        <v>nov/24</v>
      </c>
      <c r="M13" s="21" t="n">
        <f aca="false">SUMIFS(b_receita,b_data,"&gt;="&amp;K13,b_data,"&lt;"&amp;EDATE(K13,1),b_regiao,c_regiao,b_categoria,c_cat,b_canal,c_canal)</f>
        <v>32815</v>
      </c>
    </row>
    <row r="14" customFormat="false" ht="15" hidden="false" customHeight="false" outlineLevel="0" collapsed="false">
      <c r="A14" s="17" t="str">
        <f aca="false">C6</f>
        <v>Jogo</v>
      </c>
      <c r="B14" s="21" t="n">
        <f aca="false">SUMIFS(b_receita,b_categoria,A14,b_data,"&gt;="&amp;c_ini,b_data,"&lt;="&amp;c_fim,b_regiao,c_regiao,b_canal,c_canal)</f>
        <v>206590</v>
      </c>
      <c r="D14" s="17" t="str">
        <f aca="false">B6</f>
        <v>Centro-Oeste</v>
      </c>
      <c r="E14" s="21" t="n">
        <f aca="false">SUMIFS(b_receita,b_regiao,D14,b_data,"&gt;="&amp;c_ini,b_data,"&lt;="&amp;c_fim,b_categoria,c_cat,b_canal,c_canal)</f>
        <v>132450</v>
      </c>
      <c r="K14" s="19" t="n">
        <f aca="false">EDATE(K13,1)</f>
        <v>45627</v>
      </c>
      <c r="L14" s="20" t="str">
        <f aca="false">CHOOSE(MONTH(K14),"jan","fev","mar","abr","mai","jun","jul","ago","set","out","nov","dez")&amp;"/"&amp;RIGHT(YEAR(K14),2)</f>
        <v>dez/24</v>
      </c>
      <c r="M14" s="21" t="n">
        <f aca="false">SUMIFS(b_receita,b_data,"&gt;="&amp;K14,b_data,"&lt;"&amp;EDATE(K14,1),b_regiao,c_regiao,b_categoria,c_cat,b_canal,c_canal)</f>
        <v>34890</v>
      </c>
    </row>
    <row r="15" customFormat="false" ht="15" hidden="false" customHeight="false" outlineLevel="0" collapsed="false">
      <c r="A15" s="17" t="str">
        <f aca="false">C7</f>
        <v>Assinatura</v>
      </c>
      <c r="B15" s="21" t="n">
        <f aca="false">SUMIFS(b_receita,b_categoria,A15,b_data,"&gt;="&amp;c_ini,b_data,"&lt;="&amp;c_fim,b_regiao,c_regiao,b_canal,c_canal)</f>
        <v>83990</v>
      </c>
      <c r="D15" s="17" t="str">
        <f aca="false">B7</f>
        <v>Sudeste</v>
      </c>
      <c r="E15" s="21" t="n">
        <f aca="false">SUMIFS(b_receita,b_regiao,D15,b_data,"&gt;="&amp;c_ini,b_data,"&lt;="&amp;c_fim,b_categoria,c_cat,b_canal,c_canal)</f>
        <v>398285</v>
      </c>
      <c r="K15" s="19" t="n">
        <f aca="false">EDATE(K14,1)</f>
        <v>45658</v>
      </c>
      <c r="L15" s="20" t="str">
        <f aca="false">CHOOSE(MONTH(K15),"jan","fev","mar","abr","mai","jun","jul","ago","set","out","nov","dez")&amp;"/"&amp;RIGHT(YEAR(K15),2)</f>
        <v>jan/25</v>
      </c>
      <c r="M15" s="21" t="n">
        <f aca="false">SUMIFS(b_receita,b_data,"&gt;="&amp;K15,b_data,"&lt;"&amp;EDATE(K15,1),b_regiao,c_regiao,b_categoria,c_cat,b_canal,c_canal)</f>
        <v>48785</v>
      </c>
    </row>
    <row r="16" customFormat="false" ht="15" hidden="false" customHeight="false" outlineLevel="0" collapsed="false">
      <c r="D16" s="17" t="str">
        <f aca="false">B8</f>
        <v>Sul</v>
      </c>
      <c r="E16" s="21" t="n">
        <f aca="false">SUMIFS(b_receita,b_regiao,D16,b_data,"&gt;="&amp;c_ini,b_data,"&lt;="&amp;c_fim,b_categoria,c_cat,b_canal,c_canal)</f>
        <v>190935</v>
      </c>
      <c r="K16" s="19" t="n">
        <f aca="false">EDATE(K15,1)</f>
        <v>45689</v>
      </c>
      <c r="L16" s="20" t="str">
        <f aca="false">CHOOSE(MONTH(K16),"jan","fev","mar","abr","mai","jun","jul","ago","set","out","nov","dez")&amp;"/"&amp;RIGHT(YEAR(K16),2)</f>
        <v>fev/25</v>
      </c>
      <c r="M16" s="21" t="n">
        <f aca="false">SUMIFS(b_receita,b_data,"&gt;="&amp;K16,b_data,"&lt;"&amp;EDATE(K16,1),b_regiao,c_regiao,b_categoria,c_cat,b_canal,c_canal)</f>
        <v>18745</v>
      </c>
    </row>
    <row r="17" customFormat="false" ht="15" hidden="false" customHeight="false" outlineLevel="0" collapsed="false">
      <c r="K17" s="19" t="n">
        <f aca="false">EDATE(K16,1)</f>
        <v>45717</v>
      </c>
      <c r="L17" s="20" t="str">
        <f aca="false">CHOOSE(MONTH(K17),"jan","fev","mar","abr","mai","jun","jul","ago","set","out","nov","dez")&amp;"/"&amp;RIGHT(YEAR(K17),2)</f>
        <v>mar/25</v>
      </c>
      <c r="M17" s="21" t="n">
        <f aca="false">SUMIFS(b_receita,b_data,"&gt;="&amp;K17,b_data,"&lt;"&amp;EDATE(K17,1),b_regiao,c_regiao,b_categoria,c_cat,b_canal,c_canal)</f>
        <v>21985</v>
      </c>
    </row>
    <row r="18" customFormat="false" ht="15" hidden="false" customHeight="false" outlineLevel="0" collapsed="false">
      <c r="K18" s="19" t="n">
        <f aca="false">EDATE(K17,1)</f>
        <v>45748</v>
      </c>
      <c r="L18" s="20" t="str">
        <f aca="false">CHOOSE(MONTH(K18),"jan","fev","mar","abr","mai","jun","jul","ago","set","out","nov","dez")&amp;"/"&amp;RIGHT(YEAR(K18),2)</f>
        <v>abr/25</v>
      </c>
      <c r="M18" s="21" t="n">
        <f aca="false">SUMIFS(b_receita,b_data,"&gt;="&amp;K18,b_data,"&lt;"&amp;EDATE(K18,1),b_regiao,c_regiao,b_categoria,c_cat,b_canal,c_canal)</f>
        <v>23900</v>
      </c>
    </row>
    <row r="19" customFormat="false" ht="23.85" hidden="false" customHeight="false" outlineLevel="0" collapsed="false">
      <c r="A19" s="15" t="s">
        <v>16</v>
      </c>
      <c r="B19" s="15" t="s">
        <v>4</v>
      </c>
      <c r="C19" s="15" t="s">
        <v>20</v>
      </c>
      <c r="D19" s="15" t="s">
        <v>956</v>
      </c>
      <c r="G19" s="15" t="s">
        <v>957</v>
      </c>
      <c r="H19" s="15" t="s">
        <v>958</v>
      </c>
      <c r="I19" s="15" t="s">
        <v>20</v>
      </c>
      <c r="K19" s="19" t="n">
        <f aca="false">EDATE(K18,1)</f>
        <v>45778</v>
      </c>
      <c r="L19" s="20" t="str">
        <f aca="false">CHOOSE(MONTH(K19),"jan","fev","mar","abr","mai","jun","jul","ago","set","out","nov","dez")&amp;"/"&amp;RIGHT(YEAR(K19),2)</f>
        <v>mai/25</v>
      </c>
      <c r="M19" s="21" t="n">
        <f aca="false">SUMIFS(b_receita,b_data,"&gt;="&amp;K19,b_data,"&lt;"&amp;EDATE(K19,1),b_regiao,c_regiao,b_categoria,c_cat,b_canal,c_canal)</f>
        <v>38000</v>
      </c>
    </row>
    <row r="20" customFormat="false" ht="15" hidden="false" customHeight="false" outlineLevel="0" collapsed="false">
      <c r="A20" s="16" t="s">
        <v>101</v>
      </c>
      <c r="B20" s="16" t="s">
        <v>68</v>
      </c>
      <c r="C20" s="21" t="n">
        <f aca="false">SUMIFS(b_receita,b_produto,A20,b_data,"&gt;="&amp;c_ini,b_data,"&lt;="&amp;c_fim,b_regiao,c_regiao,b_categoria,c_cat,b_canal,c_canal)</f>
        <v>184800</v>
      </c>
      <c r="D20" s="23" t="n">
        <f aca="false">C20+ROW()/1000000000</f>
        <v>184800.00000002</v>
      </c>
      <c r="G20" s="24" t="n">
        <v>1</v>
      </c>
      <c r="H20" s="20" t="str">
        <f aca="false">INDEX($A$20:$A$31,MATCH(LARGE($D$20:$D$31,G20),$D$20:$D$31,0))</f>
        <v>Console Pro</v>
      </c>
      <c r="I20" s="21" t="n">
        <f aca="false">INDEX($C$20:$C$31,MATCH(LARGE($D$20:$D$31,G20),$D$20:$D$31,0))</f>
        <v>184800</v>
      </c>
      <c r="K20" s="19" t="n">
        <f aca="false">EDATE(K19,1)</f>
        <v>45809</v>
      </c>
      <c r="L20" s="20" t="str">
        <f aca="false">CHOOSE(MONTH(K20),"jan","fev","mar","abr","mai","jun","jul","ago","set","out","nov","dez")&amp;"/"&amp;RIGHT(YEAR(K20),2)</f>
        <v>jun/25</v>
      </c>
      <c r="M20" s="21" t="n">
        <f aca="false">SUMIFS(b_receita,b_data,"&gt;="&amp;K20,b_data,"&lt;"&amp;EDATE(K20,1),b_regiao,c_regiao,b_categoria,c_cat,b_canal,c_canal)</f>
        <v>25690</v>
      </c>
    </row>
    <row r="21" customFormat="false" ht="15" hidden="false" customHeight="false" outlineLevel="0" collapsed="false">
      <c r="A21" s="16" t="s">
        <v>67</v>
      </c>
      <c r="B21" s="16" t="s">
        <v>68</v>
      </c>
      <c r="C21" s="21" t="n">
        <f aca="false">SUMIFS(b_receita,b_produto,A21,b_data,"&gt;="&amp;c_ini,b_data,"&lt;="&amp;c_fim,b_regiao,c_regiao,b_categoria,c_cat,b_canal,c_canal)</f>
        <v>176800</v>
      </c>
      <c r="D21" s="23" t="n">
        <f aca="false">C21+ROW()/1000000000</f>
        <v>176800.000000021</v>
      </c>
      <c r="G21" s="24" t="n">
        <v>2</v>
      </c>
      <c r="H21" s="20" t="str">
        <f aca="false">INDEX($A$20:$A$31,MATCH(LARGE($D$20:$D$31,G21),$D$20:$D$31,0))</f>
        <v>Console Lite</v>
      </c>
      <c r="I21" s="21" t="n">
        <f aca="false">INDEX($C$20:$C$31,MATCH(LARGE($D$20:$D$31,G21),$D$20:$D$31,0))</f>
        <v>176800</v>
      </c>
      <c r="K21" s="19" t="n">
        <f aca="false">EDATE(K20,1)</f>
        <v>45839</v>
      </c>
      <c r="L21" s="20" t="str">
        <f aca="false">CHOOSE(MONTH(K21),"jan","fev","mar","abr","mai","jun","jul","ago","set","out","nov","dez")&amp;"/"&amp;RIGHT(YEAR(K21),2)</f>
        <v>jul/25</v>
      </c>
      <c r="M21" s="21" t="n">
        <f aca="false">SUMIFS(b_receita,b_data,"&gt;="&amp;K21,b_data,"&lt;"&amp;EDATE(K21,1),b_regiao,c_regiao,b_categoria,c_cat,b_canal,c_canal)</f>
        <v>15335</v>
      </c>
    </row>
    <row r="22" customFormat="false" ht="15" hidden="false" customHeight="false" outlineLevel="0" collapsed="false">
      <c r="A22" s="16" t="s">
        <v>28</v>
      </c>
      <c r="B22" s="16" t="s">
        <v>29</v>
      </c>
      <c r="C22" s="21" t="n">
        <f aca="false">SUMIFS(b_receita,b_produto,A22,b_data,"&gt;="&amp;c_ini,b_data,"&lt;="&amp;c_fim,b_regiao,c_regiao,b_categoria,c_cat,b_canal,c_canal)</f>
        <v>121050</v>
      </c>
      <c r="D22" s="23" t="n">
        <f aca="false">C22+ROW()/1000000000</f>
        <v>121050.000000022</v>
      </c>
      <c r="G22" s="24" t="n">
        <v>3</v>
      </c>
      <c r="H22" s="20" t="str">
        <f aca="false">INDEX($A$20:$A$31,MATCH(LARGE($D$20:$D$31,G22),$D$20:$D$31,0))</f>
        <v>Headset Gamer</v>
      </c>
      <c r="I22" s="21" t="n">
        <f aca="false">INDEX($C$20:$C$31,MATCH(LARGE($D$20:$D$31,G22),$D$20:$D$31,0))</f>
        <v>126360</v>
      </c>
      <c r="K22" s="19" t="n">
        <f aca="false">EDATE(K21,1)</f>
        <v>45870</v>
      </c>
      <c r="L22" s="20" t="str">
        <f aca="false">CHOOSE(MONTH(K22),"jan","fev","mar","abr","mai","jun","jul","ago","set","out","nov","dez")&amp;"/"&amp;RIGHT(YEAR(K22),2)</f>
        <v>ago/25</v>
      </c>
      <c r="M22" s="21" t="n">
        <f aca="false">SUMIFS(b_receita,b_data,"&gt;="&amp;K22,b_data,"&lt;"&amp;EDATE(K22,1),b_regiao,c_regiao,b_categoria,c_cat,b_canal,c_canal)</f>
        <v>31180</v>
      </c>
    </row>
    <row r="23" customFormat="false" ht="15" hidden="false" customHeight="false" outlineLevel="0" collapsed="false">
      <c r="A23" s="16" t="s">
        <v>32</v>
      </c>
      <c r="B23" s="16" t="s">
        <v>29</v>
      </c>
      <c r="C23" s="21" t="n">
        <f aca="false">SUMIFS(b_receita,b_produto,A23,b_data,"&gt;="&amp;c_ini,b_data,"&lt;="&amp;c_fim,b_regiao,c_regiao,b_categoria,c_cat,b_canal,c_canal)</f>
        <v>126360</v>
      </c>
      <c r="D23" s="23" t="n">
        <f aca="false">C23+ROW()/1000000000</f>
        <v>126360.000000023</v>
      </c>
      <c r="G23" s="24" t="n">
        <v>4</v>
      </c>
      <c r="H23" s="20" t="str">
        <f aca="false">INDEX($A$20:$A$31,MATCH(LARGE($D$20:$D$31,G23),$D$20:$D$31,0))</f>
        <v>Controle sem fio</v>
      </c>
      <c r="I23" s="21" t="n">
        <f aca="false">INDEX($C$20:$C$31,MATCH(LARGE($D$20:$D$31,G23),$D$20:$D$31,0))</f>
        <v>121050</v>
      </c>
      <c r="K23" s="19" t="n">
        <f aca="false">EDATE(K22,1)</f>
        <v>45901</v>
      </c>
      <c r="L23" s="20" t="str">
        <f aca="false">CHOOSE(MONTH(K23),"jan","fev","mar","abr","mai","jun","jul","ago","set","out","nov","dez")&amp;"/"&amp;RIGHT(YEAR(K23),2)</f>
        <v>set/25</v>
      </c>
      <c r="M23" s="21" t="n">
        <f aca="false">SUMIFS(b_receita,b_data,"&gt;="&amp;K23,b_data,"&lt;"&amp;EDATE(K23,1),b_regiao,c_regiao,b_categoria,c_cat,b_canal,c_canal)</f>
        <v>19255</v>
      </c>
    </row>
    <row r="24" customFormat="false" ht="15" hidden="false" customHeight="false" outlineLevel="0" collapsed="false">
      <c r="A24" s="16" t="s">
        <v>36</v>
      </c>
      <c r="B24" s="16" t="s">
        <v>29</v>
      </c>
      <c r="C24" s="21" t="n">
        <f aca="false">SUMIFS(b_receita,b_produto,A24,b_data,"&gt;="&amp;c_ini,b_data,"&lt;="&amp;c_fim,b_regiao,c_regiao,b_categoria,c_cat,b_canal,c_canal)</f>
        <v>77900</v>
      </c>
      <c r="D24" s="23" t="n">
        <f aca="false">C24+ROW()/1000000000</f>
        <v>77900.000000024</v>
      </c>
      <c r="G24" s="24" t="n">
        <v>5</v>
      </c>
      <c r="H24" s="20" t="str">
        <f aca="false">INDEX($A$20:$A$31,MATCH(LARGE($D$20:$D$31,G24),$D$20:$D$31,0))</f>
        <v>Cartão de memória</v>
      </c>
      <c r="I24" s="21" t="n">
        <f aca="false">INDEX($C$20:$C$31,MATCH(LARGE($D$20:$D$31,G24),$D$20:$D$31,0))</f>
        <v>77900</v>
      </c>
      <c r="K24" s="19" t="n">
        <f aca="false">EDATE(K23,1)</f>
        <v>45931</v>
      </c>
      <c r="L24" s="20" t="str">
        <f aca="false">CHOOSE(MONTH(K24),"jan","fev","mar","abr","mai","jun","jul","ago","set","out","nov","dez")&amp;"/"&amp;RIGHT(YEAR(K24),2)</f>
        <v>out/25</v>
      </c>
      <c r="M24" s="21" t="n">
        <f aca="false">SUMIFS(b_receita,b_data,"&gt;="&amp;K24,b_data,"&lt;"&amp;EDATE(K24,1),b_regiao,c_regiao,b_categoria,c_cat,b_canal,c_canal)</f>
        <v>33230</v>
      </c>
    </row>
    <row r="25" customFormat="false" ht="15" hidden="false" customHeight="false" outlineLevel="0" collapsed="false">
      <c r="A25" s="16" t="s">
        <v>55</v>
      </c>
      <c r="B25" s="16" t="s">
        <v>24</v>
      </c>
      <c r="C25" s="21" t="n">
        <f aca="false">SUMIFS(b_receita,b_produto,A25,b_data,"&gt;="&amp;c_ini,b_data,"&lt;="&amp;c_fim,b_regiao,c_regiao,b_categoria,c_cat,b_canal,c_canal)</f>
        <v>66640</v>
      </c>
      <c r="D25" s="23" t="n">
        <f aca="false">C25+ROW()/1000000000</f>
        <v>66640.000000025</v>
      </c>
      <c r="K25" s="19" t="n">
        <f aca="false">EDATE(K24,1)</f>
        <v>45962</v>
      </c>
      <c r="L25" s="20" t="str">
        <f aca="false">CHOOSE(MONTH(K25),"jan","fev","mar","abr","mai","jun","jul","ago","set","out","nov","dez")&amp;"/"&amp;RIGHT(YEAR(K25),2)</f>
        <v>nov/25</v>
      </c>
      <c r="M25" s="21" t="n">
        <f aca="false">SUMIFS(b_receita,b_data,"&gt;="&amp;K25,b_data,"&lt;"&amp;EDATE(K25,1),b_regiao,c_regiao,b_categoria,c_cat,b_canal,c_canal)</f>
        <v>35330</v>
      </c>
    </row>
    <row r="26" customFormat="false" ht="15" hidden="false" customHeight="false" outlineLevel="0" collapsed="false">
      <c r="A26" s="16" t="s">
        <v>49</v>
      </c>
      <c r="B26" s="16" t="s">
        <v>24</v>
      </c>
      <c r="C26" s="21" t="n">
        <f aca="false">SUMIFS(b_receita,b_produto,A26,b_data,"&gt;="&amp;c_ini,b_data,"&lt;="&amp;c_fim,b_regiao,c_regiao,b_categoria,c_cat,b_canal,c_canal)</f>
        <v>47750</v>
      </c>
      <c r="D26" s="23" t="n">
        <f aca="false">C26+ROW()/1000000000</f>
        <v>47750.000000026</v>
      </c>
      <c r="K26" s="19" t="n">
        <f aca="false">EDATE(K25,1)</f>
        <v>45992</v>
      </c>
      <c r="L26" s="20" t="str">
        <f aca="false">CHOOSE(MONTH(K26),"jan","fev","mar","abr","mai","jun","jul","ago","set","out","nov","dez")&amp;"/"&amp;RIGHT(YEAR(K26),2)</f>
        <v>dez/25</v>
      </c>
      <c r="M26" s="21" t="n">
        <f aca="false">SUMIFS(b_receita,b_data,"&gt;="&amp;K26,b_data,"&lt;"&amp;EDATE(K26,1),b_regiao,c_regiao,b_categoria,c_cat,b_canal,c_canal)</f>
        <v>79300</v>
      </c>
    </row>
    <row r="27" customFormat="false" ht="15" hidden="false" customHeight="false" outlineLevel="0" collapsed="false">
      <c r="A27" s="16" t="s">
        <v>23</v>
      </c>
      <c r="B27" s="16" t="s">
        <v>24</v>
      </c>
      <c r="C27" s="21" t="n">
        <f aca="false">SUMIFS(b_receita,b_produto,A27,b_data,"&gt;="&amp;c_ini,b_data,"&lt;="&amp;c_fim,b_regiao,c_regiao,b_categoria,c_cat,b_canal,c_canal)</f>
        <v>52000</v>
      </c>
      <c r="D27" s="23" t="n">
        <f aca="false">C27+ROW()/1000000000</f>
        <v>52000.000000027</v>
      </c>
      <c r="K27" s="19" t="n">
        <f aca="false">EDATE(K26,1)</f>
        <v>46023</v>
      </c>
      <c r="L27" s="20" t="str">
        <f aca="false">CHOOSE(MONTH(K27),"jan","fev","mar","abr","mai","jun","jul","ago","set","out","nov","dez")&amp;"/"&amp;RIGHT(YEAR(K27),2)</f>
        <v>jan/26</v>
      </c>
      <c r="M27" s="21" t="n">
        <f aca="false">SUMIFS(b_receita,b_data,"&gt;="&amp;K27,b_data,"&lt;"&amp;EDATE(K27,1),b_regiao,c_regiao,b_categoria,c_cat,b_canal,c_canal)</f>
        <v>54275</v>
      </c>
    </row>
    <row r="28" customFormat="false" ht="15" hidden="false" customHeight="false" outlineLevel="0" collapsed="false">
      <c r="A28" s="16" t="s">
        <v>53</v>
      </c>
      <c r="B28" s="16" t="s">
        <v>24</v>
      </c>
      <c r="C28" s="21" t="n">
        <f aca="false">SUMIFS(b_receita,b_produto,A28,b_data,"&gt;="&amp;c_ini,b_data,"&lt;="&amp;c_fim,b_regiao,c_regiao,b_categoria,c_cat,b_canal,c_canal)</f>
        <v>40200</v>
      </c>
      <c r="D28" s="23" t="n">
        <f aca="false">C28+ROW()/1000000000</f>
        <v>40200.000000028</v>
      </c>
      <c r="K28" s="19" t="n">
        <f aca="false">EDATE(K27,1)</f>
        <v>46054</v>
      </c>
      <c r="L28" s="20" t="str">
        <f aca="false">CHOOSE(MONTH(K28),"jan","fev","mar","abr","mai","jun","jul","ago","set","out","nov","dez")&amp;"/"&amp;RIGHT(YEAR(K28),2)</f>
        <v>fev/26</v>
      </c>
      <c r="M28" s="21" t="n">
        <f aca="false">SUMIFS(b_receita,b_data,"&gt;="&amp;K28,b_data,"&lt;"&amp;EDATE(K28,1),b_regiao,c_regiao,b_categoria,c_cat,b_canal,c_canal)</f>
        <v>50260</v>
      </c>
    </row>
    <row r="29" customFormat="false" ht="15" hidden="false" customHeight="false" outlineLevel="0" collapsed="false">
      <c r="A29" s="16" t="s">
        <v>41</v>
      </c>
      <c r="B29" s="16" t="s">
        <v>42</v>
      </c>
      <c r="C29" s="21" t="n">
        <f aca="false">SUMIFS(b_receita,b_produto,A29,b_data,"&gt;="&amp;c_ini,b_data,"&lt;="&amp;c_fim,b_regiao,c_regiao,b_categoria,c_cat,b_canal,c_canal)</f>
        <v>14220</v>
      </c>
      <c r="D29" s="23" t="n">
        <f aca="false">C29+ROW()/1000000000</f>
        <v>14220.000000029</v>
      </c>
      <c r="K29" s="19" t="n">
        <f aca="false">EDATE(K28,1)</f>
        <v>46082</v>
      </c>
      <c r="L29" s="20" t="str">
        <f aca="false">CHOOSE(MONTH(K29),"jan","fev","mar","abr","mai","jun","jul","ago","set","out","nov","dez")&amp;"/"&amp;RIGHT(YEAR(K29),2)</f>
        <v>mar/26</v>
      </c>
      <c r="M29" s="21" t="n">
        <f aca="false">SUMIFS(b_receita,b_data,"&gt;="&amp;K29,b_data,"&lt;"&amp;EDATE(K29,1),b_regiao,c_regiao,b_categoria,c_cat,b_canal,c_canal)</f>
        <v>26545</v>
      </c>
    </row>
    <row r="30" customFormat="false" ht="15" hidden="false" customHeight="false" outlineLevel="0" collapsed="false">
      <c r="A30" s="16" t="s">
        <v>51</v>
      </c>
      <c r="B30" s="16" t="s">
        <v>42</v>
      </c>
      <c r="C30" s="21" t="n">
        <f aca="false">SUMIFS(b_receita,b_produto,A30,b_data,"&gt;="&amp;c_ini,b_data,"&lt;="&amp;c_fim,b_regiao,c_regiao,b_categoria,c_cat,b_canal,c_canal)</f>
        <v>19370</v>
      </c>
      <c r="D30" s="23" t="n">
        <f aca="false">C30+ROW()/1000000000</f>
        <v>19370.00000003</v>
      </c>
      <c r="K30" s="19" t="n">
        <f aca="false">EDATE(K29,1)</f>
        <v>46113</v>
      </c>
      <c r="L30" s="20" t="str">
        <f aca="false">CHOOSE(MONTH(K30),"jan","fev","mar","abr","mai","jun","jul","ago","set","out","nov","dez")&amp;"/"&amp;RIGHT(YEAR(K30),2)</f>
        <v>abr/26</v>
      </c>
      <c r="M30" s="21" t="n">
        <f aca="false">SUMIFS(b_receita,b_data,"&gt;="&amp;K30,b_data,"&lt;"&amp;EDATE(K30,1),b_regiao,c_regiao,b_categoria,c_cat,b_canal,c_canal)</f>
        <v>42135</v>
      </c>
    </row>
    <row r="31" customFormat="false" ht="15" hidden="false" customHeight="false" outlineLevel="0" collapsed="false">
      <c r="A31" s="16" t="s">
        <v>84</v>
      </c>
      <c r="B31" s="16" t="s">
        <v>42</v>
      </c>
      <c r="C31" s="21" t="n">
        <f aca="false">SUMIFS(b_receita,b_produto,A31,b_data,"&gt;="&amp;c_ini,b_data,"&lt;="&amp;c_fim,b_regiao,c_regiao,b_categoria,c_cat,b_canal,c_canal)</f>
        <v>50400</v>
      </c>
      <c r="D31" s="23" t="n">
        <f aca="false">C31+ROW()/1000000000</f>
        <v>50400.000000031</v>
      </c>
      <c r="K31" s="19" t="n">
        <f aca="false">EDATE(K30,1)</f>
        <v>46143</v>
      </c>
      <c r="L31" s="20" t="str">
        <f aca="false">CHOOSE(MONTH(K31),"jan","fev","mar","abr","mai","jun","jul","ago","set","out","nov","dez")&amp;"/"&amp;RIGHT(YEAR(K31),2)</f>
        <v>mai/26</v>
      </c>
      <c r="M31" s="21" t="n">
        <f aca="false">SUMIFS(b_receita,b_data,"&gt;="&amp;K31,b_data,"&lt;"&amp;EDATE(K31,1),b_regiao,c_regiao,b_categoria,c_cat,b_canal,c_canal)</f>
        <v>20340</v>
      </c>
    </row>
    <row r="32" customFormat="false" ht="15" hidden="false" customHeight="false" outlineLevel="0" collapsed="false">
      <c r="K32" s="19" t="n">
        <f aca="false">EDATE(K31,1)</f>
        <v>46174</v>
      </c>
      <c r="L32" s="20" t="str">
        <f aca="false">CHOOSE(MONTH(K32),"jan","fev","mar","abr","mai","jun","jul","ago","set","out","nov","dez")&amp;"/"&amp;RIGHT(YEAR(K32),2)</f>
        <v>jun/26</v>
      </c>
      <c r="M32" s="21" t="n">
        <f aca="false">SUMIFS(b_receita,b_data,"&gt;="&amp;K32,b_data,"&lt;"&amp;EDATE(K32,1),b_regiao,c_regiao,b_categoria,c_cat,b_canal,c_canal)</f>
        <v>34060</v>
      </c>
    </row>
    <row r="33" customFormat="false" ht="15" hidden="false" customHeight="false" outlineLevel="0" collapsed="false">
      <c r="K33" s="19" t="n">
        <f aca="false">EDATE(K32,1)</f>
        <v>46204</v>
      </c>
      <c r="L33" s="20" t="str">
        <f aca="false">CHOOSE(MONTH(K33),"jan","fev","mar","abr","mai","jun","jul","ago","set","out","nov","dez")&amp;"/"&amp;RIGHT(YEAR(K33),2)</f>
        <v>jul/26</v>
      </c>
      <c r="M33" s="21" t="n">
        <f aca="false">SUMIFS(b_receita,b_data,"&gt;="&amp;K33,b_data,"&lt;"&amp;EDATE(K33,1),b_regiao,c_regiao,b_categoria,c_cat,b_canal,c_canal)</f>
        <v>46570</v>
      </c>
    </row>
    <row r="34" customFormat="false" ht="15" hidden="false" customHeight="false" outlineLevel="0" collapsed="false">
      <c r="A34" s="25" t="s">
        <v>959</v>
      </c>
      <c r="K34" s="19" t="n">
        <f aca="false">EDATE(K33,1)</f>
        <v>46235</v>
      </c>
      <c r="L34" s="20" t="str">
        <f aca="false">CHOOSE(MONTH(K34),"jan","fev","mar","abr","mai","jun","jul","ago","set","out","nov","dez")&amp;"/"&amp;RIGHT(YEAR(K34),2)</f>
        <v>ago/26</v>
      </c>
      <c r="M34" s="21" t="n">
        <f aca="false">SUMIFS(b_receita,b_data,"&gt;="&amp;K34,b_data,"&lt;"&amp;EDATE(K34,1),b_regiao,c_regiao,b_categoria,c_cat,b_canal,c_canal)</f>
        <v>34565</v>
      </c>
    </row>
    <row r="35" customFormat="false" ht="15" hidden="false" customHeight="false" outlineLevel="0" collapsed="false">
      <c r="K35" s="19" t="n">
        <f aca="false">EDATE(K34,1)</f>
        <v>46266</v>
      </c>
      <c r="L35" s="20" t="str">
        <f aca="false">CHOOSE(MONTH(K35),"jan","fev","mar","abr","mai","jun","jul","ago","set","out","nov","dez")&amp;"/"&amp;RIGHT(YEAR(K35),2)</f>
        <v>set/26</v>
      </c>
      <c r="M35" s="21" t="n">
        <f aca="false">SUMIFS(b_receita,b_data,"&gt;="&amp;K35,b_data,"&lt;"&amp;EDATE(K35,1),b_regiao,c_regiao,b_categoria,c_cat,b_canal,c_canal)</f>
        <v>20100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2026-10-18T02:48:11Z</dcterms:created>
  <dc:creator>openpyxl</dc:creator>
  <dc:description/>
  <dc:language>en-US</dc:language>
  <cp:lastModifiedBy/>
  <dcterms:modified xsi:type="dcterms:W3CDTF">2026-10-18T02:48:13Z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